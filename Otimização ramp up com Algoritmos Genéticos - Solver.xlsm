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cw38\Desktop\BI Master\Monografia\"/>
    </mc:Choice>
  </mc:AlternateContent>
  <xr:revisionPtr revIDLastSave="0" documentId="13_ncr:1_{1CE30AE4-00C7-499E-B308-62C7BE4E73F8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MODELOfinal (2)" sheetId="43" r:id="rId1"/>
    <sheet name="MODELOfinal" sheetId="41" r:id="rId2"/>
    <sheet name="MODELO2" sheetId="40" r:id="rId3"/>
    <sheet name="INDICE2" sheetId="39" r:id="rId4"/>
  </sheets>
  <externalReferences>
    <externalReference r:id="rId5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0</definedName>
    <definedName name="_AtRisk_SimSetting_ReportsList" hidden="1">0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cn.WorksheetConnection_Planilha3A2B31" hidden="1">'[1]Trab UEP1 Com injetor'!$A$21:$B$42</definedName>
    <definedName name="Pal_Workbook_GUID" hidden="1">"2ZCV84VN7EFTSA14ET1ET17A"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6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100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olver_adj" localSheetId="2" hidden="1">MODELO2!$B$2:$B$17</definedName>
    <definedName name="solver_adj" localSheetId="1" hidden="1">MODELOfinal!$B$2:$B$17</definedName>
    <definedName name="solver_adj" localSheetId="0" hidden="1">'MODELOfinal (2)'!$B$2:$B$17</definedName>
    <definedName name="solver_cvg" localSheetId="2" hidden="1">0.0001</definedName>
    <definedName name="solver_cvg" localSheetId="1" hidden="1">0.0001</definedName>
    <definedName name="solver_cvg" localSheetId="0" hidden="1">0.0001</definedName>
    <definedName name="solver_drv" localSheetId="2" hidden="1">1</definedName>
    <definedName name="solver_drv" localSheetId="1" hidden="1">1</definedName>
    <definedName name="solver_drv" localSheetId="0" hidden="1">1</definedName>
    <definedName name="solver_eng" localSheetId="2" hidden="1">3</definedName>
    <definedName name="solver_eng" localSheetId="1" hidden="1">3</definedName>
    <definedName name="solver_eng" localSheetId="0" hidden="1">3</definedName>
    <definedName name="solver_est" localSheetId="2" hidden="1">1</definedName>
    <definedName name="solver_est" localSheetId="1" hidden="1">1</definedName>
    <definedName name="solver_est" localSheetId="0" hidden="1">1</definedName>
    <definedName name="solver_itr" localSheetId="2" hidden="1">2147483647</definedName>
    <definedName name="solver_itr" localSheetId="1" hidden="1">2147483647</definedName>
    <definedName name="solver_itr" localSheetId="0" hidden="1">2147483647</definedName>
    <definedName name="solver_lhs1" localSheetId="2" hidden="1">MODELO2!$B$2:$B$17</definedName>
    <definedName name="solver_lhs1" localSheetId="1" hidden="1">MODELOfinal!$B$2:$B$17</definedName>
    <definedName name="solver_lhs1" localSheetId="0" hidden="1">'MODELOfinal (2)'!$B$2:$B$17</definedName>
    <definedName name="solver_lhs2" localSheetId="2" hidden="1">MODELO2!$B$2:$B$17</definedName>
    <definedName name="solver_lhs2" localSheetId="1" hidden="1">MODELOfinal!$B$2:$B$17</definedName>
    <definedName name="solver_lhs2" localSheetId="0" hidden="1">'MODELOfinal (2)'!$B$2:$B$17</definedName>
    <definedName name="solver_mip" localSheetId="2" hidden="1">2147483647</definedName>
    <definedName name="solver_mip" localSheetId="1" hidden="1">2147483647</definedName>
    <definedName name="solver_mip" localSheetId="0" hidden="1">2147483647</definedName>
    <definedName name="solver_mni" localSheetId="2" hidden="1">30</definedName>
    <definedName name="solver_mni" localSheetId="1" hidden="1">30</definedName>
    <definedName name="solver_mni" localSheetId="0" hidden="1">30</definedName>
    <definedName name="solver_mrt" localSheetId="2" hidden="1">0.075</definedName>
    <definedName name="solver_mrt" localSheetId="1" hidden="1">0.075</definedName>
    <definedName name="solver_mrt" localSheetId="0" hidden="1">0.075</definedName>
    <definedName name="solver_msl" localSheetId="2" hidden="1">2</definedName>
    <definedName name="solver_msl" localSheetId="1" hidden="1">2</definedName>
    <definedName name="solver_msl" localSheetId="0" hidden="1">2</definedName>
    <definedName name="solver_neg" localSheetId="2" hidden="1">1</definedName>
    <definedName name="solver_neg" localSheetId="1" hidden="1">1</definedName>
    <definedName name="solver_neg" localSheetId="0" hidden="1">1</definedName>
    <definedName name="solver_nod" localSheetId="2" hidden="1">2147483647</definedName>
    <definedName name="solver_nod" localSheetId="1" hidden="1">2147483647</definedName>
    <definedName name="solver_nod" localSheetId="0" hidden="1">2147483647</definedName>
    <definedName name="solver_num" localSheetId="2" hidden="1">2</definedName>
    <definedName name="solver_num" localSheetId="1" hidden="1">2</definedName>
    <definedName name="solver_num" localSheetId="0" hidden="1">2</definedName>
    <definedName name="solver_nwt" localSheetId="2" hidden="1">1</definedName>
    <definedName name="solver_nwt" localSheetId="1" hidden="1">1</definedName>
    <definedName name="solver_nwt" localSheetId="0" hidden="1">1</definedName>
    <definedName name="solver_opt" localSheetId="2" hidden="1">MODELO2!$K$18</definedName>
    <definedName name="solver_opt" localSheetId="1" hidden="1">MODELOfinal!$H$18</definedName>
    <definedName name="solver_opt" localSheetId="0" hidden="1">'MODELOfinal (2)'!$H$18</definedName>
    <definedName name="solver_pre" localSheetId="2" hidden="1">0.000001</definedName>
    <definedName name="solver_pre" localSheetId="1" hidden="1">0.000001</definedName>
    <definedName name="solver_pre" localSheetId="0" hidden="1">0.000001</definedName>
    <definedName name="solver_rbv" localSheetId="2" hidden="1">1</definedName>
    <definedName name="solver_rbv" localSheetId="1" hidden="1">1</definedName>
    <definedName name="solver_rbv" localSheetId="0" hidden="1">1</definedName>
    <definedName name="solver_rel1" localSheetId="2" hidden="1">6</definedName>
    <definedName name="solver_rel1" localSheetId="1" hidden="1">6</definedName>
    <definedName name="solver_rel1" localSheetId="0" hidden="1">6</definedName>
    <definedName name="solver_rel2" localSheetId="2" hidden="1">4</definedName>
    <definedName name="solver_rel2" localSheetId="1" hidden="1">4</definedName>
    <definedName name="solver_rel2" localSheetId="0" hidden="1">4</definedName>
    <definedName name="solver_rhs1" localSheetId="2" hidden="1">TudoDiferente</definedName>
    <definedName name="solver_rhs1" localSheetId="1" hidden="1">TudoDiferente</definedName>
    <definedName name="solver_rhs1" localSheetId="0" hidden="1">TudoDiferente</definedName>
    <definedName name="solver_rhs2" localSheetId="2" hidden="1">número inteiro</definedName>
    <definedName name="solver_rhs2" localSheetId="1" hidden="1">número inteiro</definedName>
    <definedName name="solver_rhs2" localSheetId="0" hidden="1">número inteiro</definedName>
    <definedName name="solver_rlx" localSheetId="2" hidden="1">2</definedName>
    <definedName name="solver_rlx" localSheetId="1" hidden="1">2</definedName>
    <definedName name="solver_rlx" localSheetId="0" hidden="1">2</definedName>
    <definedName name="solver_rsd" localSheetId="2" hidden="1">0</definedName>
    <definedName name="solver_rsd" localSheetId="1" hidden="1">0</definedName>
    <definedName name="solver_rsd" localSheetId="0" hidden="1">0</definedName>
    <definedName name="solver_scl" localSheetId="2" hidden="1">1</definedName>
    <definedName name="solver_scl" localSheetId="1" hidden="1">1</definedName>
    <definedName name="solver_scl" localSheetId="0" hidden="1">1</definedName>
    <definedName name="solver_sho" localSheetId="2" hidden="1">2</definedName>
    <definedName name="solver_sho" localSheetId="1" hidden="1">2</definedName>
    <definedName name="solver_sho" localSheetId="0" hidden="1">2</definedName>
    <definedName name="solver_ssz" localSheetId="2" hidden="1">100</definedName>
    <definedName name="solver_ssz" localSheetId="1" hidden="1">100</definedName>
    <definedName name="solver_ssz" localSheetId="0" hidden="1">100</definedName>
    <definedName name="solver_tim" localSheetId="2" hidden="1">2147483647</definedName>
    <definedName name="solver_tim" localSheetId="1" hidden="1">2147483647</definedName>
    <definedName name="solver_tim" localSheetId="0" hidden="1">2147483647</definedName>
    <definedName name="solver_tol" localSheetId="2" hidden="1">0.01</definedName>
    <definedName name="solver_tol" localSheetId="1" hidden="1">0.01</definedName>
    <definedName name="solver_tol" localSheetId="0" hidden="1">0.01</definedName>
    <definedName name="solver_typ" localSheetId="2" hidden="1">1</definedName>
    <definedName name="solver_typ" localSheetId="1" hidden="1">1</definedName>
    <definedName name="solver_typ" localSheetId="0" hidden="1">1</definedName>
    <definedName name="solver_val" localSheetId="2" hidden="1">0</definedName>
    <definedName name="solver_val" localSheetId="1" hidden="1">0</definedName>
    <definedName name="solver_val" localSheetId="0" hidden="1">0</definedName>
    <definedName name="solver_ver" localSheetId="2" hidden="1">3</definedName>
    <definedName name="solver_ver" localSheetId="1" hidden="1">3</definedName>
    <definedName name="solver_ver" localSheetId="0" hidden="1">3</definedName>
    <definedName name="STWBD_StatToolsScatterplot_DisplayCorrelationCoefficient" hidden="1">"TRUE"</definedName>
    <definedName name="STWBD_StatToolsScatterplot_HasDefaultInfo" hidden="1">"TRUE"</definedName>
    <definedName name="STWBD_StatToolsScatterplot_VarSelectorDefaultDataSet" hidden="1">"DG112DE1EF"</definedName>
    <definedName name="STWBD_StatToolsScatterplot_XVariableList" hidden="1">2</definedName>
    <definedName name="STWBD_StatToolsScatterplot_XVariableList_1" hidden="1">"U_x0001_VG2D57BF831D729B26_x0001_"</definedName>
    <definedName name="STWBD_StatToolsScatterplot_XVariableList_2" hidden="1">"U_x0001_VG1E330A271EE8C447_x0001_"</definedName>
    <definedName name="STWBD_StatToolsScatterplot_YVariableList" hidden="1">1</definedName>
    <definedName name="STWBD_StatToolsScatterplot_YVariableList_1" hidden="1">"U_x0001_VGFC9F36D570F001_x0001_"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Intervalo" name="Intervalo" connection="WorksheetConnection_Planilha3!$A$2:$B$3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7" i="43" l="1"/>
  <c r="E17" i="43"/>
  <c r="C17" i="43"/>
  <c r="K16" i="43"/>
  <c r="E16" i="43"/>
  <c r="C16" i="43"/>
  <c r="K15" i="43"/>
  <c r="E15" i="43"/>
  <c r="C15" i="43"/>
  <c r="K14" i="43"/>
  <c r="E14" i="43"/>
  <c r="C14" i="43"/>
  <c r="K13" i="43"/>
  <c r="E13" i="43"/>
  <c r="C13" i="43"/>
  <c r="K12" i="43"/>
  <c r="E12" i="43"/>
  <c r="C12" i="43"/>
  <c r="K11" i="43"/>
  <c r="E11" i="43"/>
  <c r="C11" i="43"/>
  <c r="K10" i="43"/>
  <c r="E10" i="43"/>
  <c r="C10" i="43"/>
  <c r="K9" i="43"/>
  <c r="E9" i="43"/>
  <c r="C9" i="43"/>
  <c r="K8" i="43"/>
  <c r="E8" i="43"/>
  <c r="C8" i="43"/>
  <c r="K7" i="43"/>
  <c r="E7" i="43"/>
  <c r="C7" i="43"/>
  <c r="K6" i="43"/>
  <c r="E6" i="43"/>
  <c r="C6" i="43"/>
  <c r="K5" i="43"/>
  <c r="E5" i="43"/>
  <c r="C5" i="43"/>
  <c r="K4" i="43"/>
  <c r="E4" i="43"/>
  <c r="C4" i="43"/>
  <c r="K3" i="43"/>
  <c r="E3" i="43"/>
  <c r="C3" i="43"/>
  <c r="K2" i="43"/>
  <c r="J2" i="43"/>
  <c r="J3" i="43" s="1"/>
  <c r="J4" i="43" s="1"/>
  <c r="J5" i="43" s="1"/>
  <c r="J6" i="43" s="1"/>
  <c r="J7" i="43" s="1"/>
  <c r="J8" i="43" s="1"/>
  <c r="J9" i="43" s="1"/>
  <c r="J10" i="43" s="1"/>
  <c r="J11" i="43" s="1"/>
  <c r="J12" i="43" s="1"/>
  <c r="J13" i="43" s="1"/>
  <c r="J14" i="43" s="1"/>
  <c r="J15" i="43" s="1"/>
  <c r="J16" i="43" s="1"/>
  <c r="J17" i="43" s="1"/>
  <c r="I2" i="43"/>
  <c r="I3" i="43" s="1"/>
  <c r="I4" i="43" s="1"/>
  <c r="I5" i="43" s="1"/>
  <c r="I6" i="43" s="1"/>
  <c r="I7" i="43" s="1"/>
  <c r="I8" i="43" s="1"/>
  <c r="I9" i="43" s="1"/>
  <c r="I10" i="43" s="1"/>
  <c r="I11" i="43" s="1"/>
  <c r="I12" i="43" s="1"/>
  <c r="I13" i="43" s="1"/>
  <c r="I14" i="43" s="1"/>
  <c r="I15" i="43" s="1"/>
  <c r="I16" i="43" s="1"/>
  <c r="I17" i="43" s="1"/>
  <c r="H2" i="43"/>
  <c r="F2" i="43"/>
  <c r="E2" i="43"/>
  <c r="D2" i="43"/>
  <c r="C2" i="43"/>
  <c r="BC20" i="41"/>
  <c r="D3" i="43" l="1"/>
  <c r="D4" i="43" s="1"/>
  <c r="G3" i="43" s="1"/>
  <c r="H3" i="43" s="1"/>
  <c r="F3" i="43"/>
  <c r="F4" i="43" s="1"/>
  <c r="F5" i="43" s="1"/>
  <c r="F6" i="43" s="1"/>
  <c r="F7" i="43" s="1"/>
  <c r="F8" i="43" s="1"/>
  <c r="F9" i="43" s="1"/>
  <c r="F10" i="43" s="1"/>
  <c r="F11" i="43" s="1"/>
  <c r="F12" i="43" s="1"/>
  <c r="F13" i="43" s="1"/>
  <c r="F14" i="43" s="1"/>
  <c r="F15" i="43" s="1"/>
  <c r="F16" i="43" s="1"/>
  <c r="F17" i="43" s="1"/>
  <c r="F18" i="43" s="1"/>
  <c r="D5" i="43" l="1"/>
  <c r="D6" i="43" s="1"/>
  <c r="G4" i="43" l="1"/>
  <c r="H4" i="43" s="1"/>
  <c r="G5" i="43"/>
  <c r="D7" i="43"/>
  <c r="H5" i="43" l="1"/>
  <c r="D8" i="43"/>
  <c r="G6" i="43"/>
  <c r="H6" i="43" s="1"/>
  <c r="G7" i="43" l="1"/>
  <c r="H7" i="43" s="1"/>
  <c r="D9" i="43"/>
  <c r="G8" i="43" l="1"/>
  <c r="H8" i="43" s="1"/>
  <c r="D10" i="43"/>
  <c r="G9" i="43" l="1"/>
  <c r="H9" i="43" s="1"/>
  <c r="D11" i="43"/>
  <c r="K2" i="40"/>
  <c r="G3" i="40"/>
  <c r="G4" i="40"/>
  <c r="G5" i="40"/>
  <c r="G6" i="40"/>
  <c r="G7" i="40"/>
  <c r="G8" i="40"/>
  <c r="G9" i="40"/>
  <c r="G10" i="40"/>
  <c r="G11" i="40"/>
  <c r="G12" i="40"/>
  <c r="G13" i="40"/>
  <c r="G14" i="40"/>
  <c r="G15" i="40"/>
  <c r="G16" i="40"/>
  <c r="G17" i="40"/>
  <c r="G2" i="40"/>
  <c r="H3" i="40"/>
  <c r="H4" i="40"/>
  <c r="H5" i="40"/>
  <c r="H6" i="40"/>
  <c r="H7" i="40"/>
  <c r="H8" i="40"/>
  <c r="H9" i="40"/>
  <c r="H10" i="40"/>
  <c r="H11" i="40"/>
  <c r="H12" i="40"/>
  <c r="H13" i="40"/>
  <c r="H14" i="40"/>
  <c r="H15" i="40"/>
  <c r="H16" i="40"/>
  <c r="H17" i="40"/>
  <c r="H2" i="40"/>
  <c r="Q3" i="40"/>
  <c r="Q4" i="40"/>
  <c r="Q5" i="40"/>
  <c r="Q6" i="40"/>
  <c r="Q7" i="40"/>
  <c r="Q8" i="40"/>
  <c r="Q9" i="40"/>
  <c r="Q10" i="40"/>
  <c r="Q11" i="40"/>
  <c r="Q12" i="40"/>
  <c r="Q13" i="40"/>
  <c r="Q14" i="40"/>
  <c r="Q15" i="40"/>
  <c r="Q16" i="40"/>
  <c r="Q17" i="40"/>
  <c r="Q2" i="40"/>
  <c r="F2" i="40"/>
  <c r="M2" i="40"/>
  <c r="D3" i="40"/>
  <c r="D4" i="40"/>
  <c r="D5" i="40"/>
  <c r="D6" i="40"/>
  <c r="D7" i="40"/>
  <c r="D8" i="40"/>
  <c r="D9" i="40"/>
  <c r="D10" i="40"/>
  <c r="D11" i="40"/>
  <c r="D12" i="40"/>
  <c r="D13" i="40"/>
  <c r="D14" i="40"/>
  <c r="D15" i="40"/>
  <c r="D16" i="40"/>
  <c r="D17" i="40"/>
  <c r="D2" i="40"/>
  <c r="K17" i="41"/>
  <c r="E17" i="41"/>
  <c r="C17" i="41"/>
  <c r="K16" i="41"/>
  <c r="E16" i="41"/>
  <c r="C16" i="41"/>
  <c r="K15" i="41"/>
  <c r="E15" i="41"/>
  <c r="C15" i="41"/>
  <c r="K14" i="41"/>
  <c r="E14" i="41"/>
  <c r="C14" i="41"/>
  <c r="K13" i="41"/>
  <c r="E13" i="41"/>
  <c r="C13" i="41"/>
  <c r="K12" i="41"/>
  <c r="E12" i="41"/>
  <c r="C12" i="41"/>
  <c r="K11" i="41"/>
  <c r="E11" i="41"/>
  <c r="C11" i="41"/>
  <c r="K10" i="41"/>
  <c r="E10" i="41"/>
  <c r="C10" i="41"/>
  <c r="K9" i="41"/>
  <c r="E9" i="41"/>
  <c r="C9" i="41"/>
  <c r="K8" i="41"/>
  <c r="E8" i="41"/>
  <c r="C8" i="41"/>
  <c r="K7" i="41"/>
  <c r="E7" i="41"/>
  <c r="C7" i="41"/>
  <c r="K6" i="41"/>
  <c r="E6" i="41"/>
  <c r="C6" i="41"/>
  <c r="K5" i="41"/>
  <c r="E5" i="41"/>
  <c r="C5" i="41"/>
  <c r="K4" i="41"/>
  <c r="E4" i="41"/>
  <c r="C4" i="41"/>
  <c r="K3" i="41"/>
  <c r="E3" i="41"/>
  <c r="C3" i="41"/>
  <c r="K2" i="41"/>
  <c r="J2" i="41"/>
  <c r="J3" i="41" s="1"/>
  <c r="J4" i="41" s="1"/>
  <c r="J5" i="41" s="1"/>
  <c r="J6" i="41" s="1"/>
  <c r="J7" i="41" s="1"/>
  <c r="J8" i="41" s="1"/>
  <c r="J9" i="41" s="1"/>
  <c r="J10" i="41" s="1"/>
  <c r="J11" i="41" s="1"/>
  <c r="J12" i="41" s="1"/>
  <c r="J13" i="41" s="1"/>
  <c r="J14" i="41" s="1"/>
  <c r="J15" i="41" s="1"/>
  <c r="J16" i="41" s="1"/>
  <c r="J17" i="41" s="1"/>
  <c r="I2" i="41"/>
  <c r="I3" i="41" s="1"/>
  <c r="I4" i="41" s="1"/>
  <c r="I5" i="41" s="1"/>
  <c r="I6" i="41" s="1"/>
  <c r="I7" i="41" s="1"/>
  <c r="I8" i="41" s="1"/>
  <c r="I9" i="41" s="1"/>
  <c r="I10" i="41" s="1"/>
  <c r="I11" i="41" s="1"/>
  <c r="I12" i="41" s="1"/>
  <c r="I13" i="41" s="1"/>
  <c r="I14" i="41" s="1"/>
  <c r="I15" i="41" s="1"/>
  <c r="I16" i="41" s="1"/>
  <c r="I17" i="41" s="1"/>
  <c r="H2" i="41"/>
  <c r="F2" i="41"/>
  <c r="E2" i="41"/>
  <c r="D2" i="41"/>
  <c r="C2" i="41"/>
  <c r="P3" i="40"/>
  <c r="P4" i="40"/>
  <c r="P5" i="40"/>
  <c r="P6" i="40"/>
  <c r="P7" i="40"/>
  <c r="P8" i="40"/>
  <c r="P9" i="40"/>
  <c r="P10" i="40"/>
  <c r="P11" i="40"/>
  <c r="P12" i="40"/>
  <c r="P13" i="40"/>
  <c r="P14" i="40"/>
  <c r="P15" i="40"/>
  <c r="P16" i="40"/>
  <c r="P17" i="40"/>
  <c r="P2" i="40"/>
  <c r="O2" i="40"/>
  <c r="O3" i="40" s="1"/>
  <c r="O4" i="40" s="1"/>
  <c r="O5" i="40" s="1"/>
  <c r="O6" i="40" s="1"/>
  <c r="O7" i="40" s="1"/>
  <c r="O8" i="40" s="1"/>
  <c r="O9" i="40" s="1"/>
  <c r="O10" i="40" s="1"/>
  <c r="O11" i="40" s="1"/>
  <c r="O12" i="40" s="1"/>
  <c r="O13" i="40" s="1"/>
  <c r="O14" i="40" s="1"/>
  <c r="O15" i="40" s="1"/>
  <c r="O16" i="40" s="1"/>
  <c r="O17" i="40" s="1"/>
  <c r="N2" i="40"/>
  <c r="N3" i="40" s="1"/>
  <c r="N4" i="40" s="1"/>
  <c r="N5" i="40" s="1"/>
  <c r="N6" i="40" s="1"/>
  <c r="N7" i="40" s="1"/>
  <c r="N8" i="40" s="1"/>
  <c r="N9" i="40" s="1"/>
  <c r="N10" i="40" s="1"/>
  <c r="N11" i="40" s="1"/>
  <c r="N12" i="40" s="1"/>
  <c r="N13" i="40" s="1"/>
  <c r="N14" i="40" s="1"/>
  <c r="N15" i="40" s="1"/>
  <c r="N16" i="40" s="1"/>
  <c r="N17" i="40" s="1"/>
  <c r="F3" i="40" l="1"/>
  <c r="D12" i="43"/>
  <c r="G10" i="43"/>
  <c r="H10" i="43" s="1"/>
  <c r="F4" i="40"/>
  <c r="F5" i="40" s="1"/>
  <c r="F6" i="40" s="1"/>
  <c r="F7" i="40" s="1"/>
  <c r="F8" i="40" s="1"/>
  <c r="D3" i="41"/>
  <c r="D4" i="41" s="1"/>
  <c r="G3" i="41" s="1"/>
  <c r="H3" i="41" s="1"/>
  <c r="F3" i="41"/>
  <c r="F4" i="41" s="1"/>
  <c r="F5" i="41" s="1"/>
  <c r="F6" i="41" s="1"/>
  <c r="F7" i="41" s="1"/>
  <c r="F8" i="41" s="1"/>
  <c r="F9" i="41" s="1"/>
  <c r="F10" i="41" s="1"/>
  <c r="F11" i="41" s="1"/>
  <c r="F12" i="41" s="1"/>
  <c r="F13" i="41" s="1"/>
  <c r="F14" i="41" s="1"/>
  <c r="F15" i="41" s="1"/>
  <c r="F16" i="41" s="1"/>
  <c r="F17" i="41" s="1"/>
  <c r="F18" i="41" s="1"/>
  <c r="C3" i="40"/>
  <c r="C4" i="40"/>
  <c r="C5" i="40"/>
  <c r="C6" i="40"/>
  <c r="C7" i="40"/>
  <c r="C8" i="40"/>
  <c r="C9" i="40"/>
  <c r="C10" i="40"/>
  <c r="C11" i="40"/>
  <c r="C12" i="40"/>
  <c r="C13" i="40"/>
  <c r="C14" i="40"/>
  <c r="C15" i="40"/>
  <c r="C16" i="40"/>
  <c r="C17" i="40"/>
  <c r="G11" i="43" l="1"/>
  <c r="H11" i="43" s="1"/>
  <c r="D13" i="43"/>
  <c r="L3" i="40"/>
  <c r="M3" i="40" s="1"/>
  <c r="L4" i="40"/>
  <c r="L5" i="40"/>
  <c r="L6" i="40"/>
  <c r="F9" i="40"/>
  <c r="L7" i="40"/>
  <c r="D5" i="41"/>
  <c r="G4" i="41" s="1"/>
  <c r="H4" i="41" s="1"/>
  <c r="C2" i="40"/>
  <c r="I2" i="40"/>
  <c r="E2" i="40"/>
  <c r="G12" i="43" l="1"/>
  <c r="H12" i="43" s="1"/>
  <c r="D14" i="43"/>
  <c r="M4" i="40"/>
  <c r="M5" i="40" s="1"/>
  <c r="M6" i="40" s="1"/>
  <c r="M7" i="40" s="1"/>
  <c r="F10" i="40"/>
  <c r="L8" i="40"/>
  <c r="D6" i="41"/>
  <c r="D7" i="41" s="1"/>
  <c r="E3" i="40"/>
  <c r="E4" i="40" s="1"/>
  <c r="I3" i="40"/>
  <c r="G13" i="43" l="1"/>
  <c r="H13" i="43" s="1"/>
  <c r="D15" i="43"/>
  <c r="M8" i="40"/>
  <c r="F11" i="40"/>
  <c r="L9" i="40"/>
  <c r="I4" i="40"/>
  <c r="I5" i="40" s="1"/>
  <c r="I6" i="40" s="1"/>
  <c r="I7" i="40" s="1"/>
  <c r="I8" i="40" s="1"/>
  <c r="I9" i="40" s="1"/>
  <c r="I10" i="40" s="1"/>
  <c r="I11" i="40" s="1"/>
  <c r="I12" i="40" s="1"/>
  <c r="I13" i="40" s="1"/>
  <c r="I14" i="40" s="1"/>
  <c r="I15" i="40" s="1"/>
  <c r="I16" i="40" s="1"/>
  <c r="I17" i="40" s="1"/>
  <c r="I18" i="40" s="1"/>
  <c r="G5" i="41"/>
  <c r="H5" i="41" s="1"/>
  <c r="G6" i="41"/>
  <c r="D8" i="41"/>
  <c r="J3" i="40"/>
  <c r="K3" i="40" s="1"/>
  <c r="E5" i="40"/>
  <c r="D16" i="43" l="1"/>
  <c r="G14" i="43"/>
  <c r="H14" i="43" s="1"/>
  <c r="M9" i="40"/>
  <c r="F12" i="40"/>
  <c r="L10" i="40"/>
  <c r="E6" i="40"/>
  <c r="E7" i="40" s="1"/>
  <c r="J4" i="40"/>
  <c r="K4" i="40" s="1"/>
  <c r="H6" i="41"/>
  <c r="G7" i="41"/>
  <c r="D9" i="41"/>
  <c r="G15" i="43" l="1"/>
  <c r="H15" i="43" s="1"/>
  <c r="D17" i="43"/>
  <c r="M10" i="40"/>
  <c r="J5" i="40"/>
  <c r="K5" i="40" s="1"/>
  <c r="F13" i="40"/>
  <c r="L11" i="40"/>
  <c r="H7" i="41"/>
  <c r="G8" i="41"/>
  <c r="D10" i="41"/>
  <c r="E8" i="40"/>
  <c r="J6" i="40"/>
  <c r="G16" i="43" l="1"/>
  <c r="H16" i="43" s="1"/>
  <c r="D18" i="43"/>
  <c r="G17" i="43" s="1"/>
  <c r="M11" i="40"/>
  <c r="F14" i="40"/>
  <c r="L12" i="40"/>
  <c r="K6" i="40"/>
  <c r="H8" i="41"/>
  <c r="D11" i="41"/>
  <c r="G9" i="41"/>
  <c r="J7" i="40"/>
  <c r="E9" i="40"/>
  <c r="H17" i="43" l="1"/>
  <c r="H18" i="43" s="1"/>
  <c r="M12" i="40"/>
  <c r="K7" i="40"/>
  <c r="F15" i="40"/>
  <c r="L13" i="40"/>
  <c r="H9" i="41"/>
  <c r="D12" i="41"/>
  <c r="G10" i="41"/>
  <c r="E10" i="40"/>
  <c r="J8" i="40"/>
  <c r="M13" i="40" l="1"/>
  <c r="K8" i="40"/>
  <c r="F16" i="40"/>
  <c r="L14" i="40"/>
  <c r="H10" i="41"/>
  <c r="G11" i="41"/>
  <c r="D13" i="41"/>
  <c r="E11" i="40"/>
  <c r="J9" i="40"/>
  <c r="M14" i="40" l="1"/>
  <c r="K9" i="40"/>
  <c r="F17" i="40"/>
  <c r="L15" i="40"/>
  <c r="H11" i="41"/>
  <c r="G12" i="41"/>
  <c r="D14" i="41"/>
  <c r="E12" i="40"/>
  <c r="J10" i="40"/>
  <c r="M15" i="40" l="1"/>
  <c r="K10" i="40"/>
  <c r="F18" i="40"/>
  <c r="L16" i="40"/>
  <c r="H12" i="41"/>
  <c r="D15" i="41"/>
  <c r="G13" i="41"/>
  <c r="J11" i="40"/>
  <c r="E13" i="40"/>
  <c r="M16" i="40" l="1"/>
  <c r="K11" i="40"/>
  <c r="L18" i="40"/>
  <c r="L17" i="40"/>
  <c r="H13" i="41"/>
  <c r="G14" i="41"/>
  <c r="D16" i="41"/>
  <c r="E14" i="40"/>
  <c r="J12" i="40"/>
  <c r="K12" i="40" l="1"/>
  <c r="M17" i="40"/>
  <c r="M18" i="40" s="1"/>
  <c r="H14" i="41"/>
  <c r="G15" i="41"/>
  <c r="D17" i="41"/>
  <c r="E15" i="40"/>
  <c r="J13" i="40"/>
  <c r="K13" i="40" l="1"/>
  <c r="H15" i="41"/>
  <c r="G16" i="41"/>
  <c r="D18" i="41"/>
  <c r="G17" i="41" s="1"/>
  <c r="E16" i="40"/>
  <c r="J14" i="40"/>
  <c r="K14" i="40" l="1"/>
  <c r="H16" i="41"/>
  <c r="H17" i="41" s="1"/>
  <c r="H18" i="41" s="1"/>
  <c r="J15" i="40"/>
  <c r="E17" i="40"/>
  <c r="K15" i="40" l="1"/>
  <c r="E18" i="40"/>
  <c r="J16" i="40"/>
  <c r="K16" i="40" l="1"/>
  <c r="J17" i="40"/>
  <c r="K17" i="40" l="1"/>
  <c r="K18" i="40" s="1"/>
  <c r="N18" i="40" s="1"/>
  <c r="N20" i="40" l="1"/>
  <c r="O18" i="40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Planilha3!$A$2:$B$3" type="102" refreshedVersion="6" minRefreshableVersion="5">
    <extLst>
      <ext xmlns:x15="http://schemas.microsoft.com/office/spreadsheetml/2010/11/main" uri="{DE250136-89BD-433C-8126-D09CA5730AF9}">
        <x15:connection id="Intervalo">
          <x15:rangePr sourceName="_xlcn.WorksheetConnection_Planilha3A2B31"/>
        </x15:connection>
      </ext>
    </extLst>
  </connection>
</connections>
</file>

<file path=xl/sharedStrings.xml><?xml version="1.0" encoding="utf-8"?>
<sst xmlns="http://schemas.openxmlformats.org/spreadsheetml/2006/main" count="157" uniqueCount="98">
  <si>
    <t>P</t>
  </si>
  <si>
    <t>I</t>
  </si>
  <si>
    <t>Poço</t>
  </si>
  <si>
    <t>P7</t>
  </si>
  <si>
    <t>P8</t>
  </si>
  <si>
    <t>Ordem</t>
  </si>
  <si>
    <t>Original</t>
  </si>
  <si>
    <t>P1</t>
  </si>
  <si>
    <t>P2</t>
  </si>
  <si>
    <t>P3</t>
  </si>
  <si>
    <t>P4</t>
  </si>
  <si>
    <t>P5</t>
  </si>
  <si>
    <t>P6</t>
  </si>
  <si>
    <t>Tipo de Poço</t>
  </si>
  <si>
    <t>Local de Interligação</t>
  </si>
  <si>
    <t>Satélite</t>
  </si>
  <si>
    <t>p</t>
  </si>
  <si>
    <t>Indice</t>
  </si>
  <si>
    <t>Potencial Total</t>
  </si>
  <si>
    <t>Sequencia</t>
  </si>
  <si>
    <t>Produção total</t>
  </si>
  <si>
    <t>Produção</t>
  </si>
  <si>
    <t>tempo Total (dias)</t>
  </si>
  <si>
    <t>tempo (dias)</t>
  </si>
  <si>
    <t>Potencial (bpd)</t>
  </si>
  <si>
    <t>Total Produtor</t>
  </si>
  <si>
    <t>Total Injetor</t>
  </si>
  <si>
    <t>Identificação do poço / manifold</t>
  </si>
  <si>
    <t xml:space="preserve"> Potencial revisado (em bpd) </t>
  </si>
  <si>
    <t>MSP1</t>
  </si>
  <si>
    <t>MSP2</t>
  </si>
  <si>
    <t>MSP3</t>
  </si>
  <si>
    <t>MSP4</t>
  </si>
  <si>
    <t>MSP5</t>
  </si>
  <si>
    <t>MSI1</t>
  </si>
  <si>
    <t>MSI2</t>
  </si>
  <si>
    <t>MSI3</t>
  </si>
  <si>
    <t>Tempo interligação (dias)</t>
  </si>
  <si>
    <t>Potencial Total
(bpd)</t>
  </si>
  <si>
    <t>Produção
(bpd)</t>
  </si>
  <si>
    <t>Sequencia Otimizada</t>
  </si>
  <si>
    <t>tempo original
(dias)</t>
  </si>
  <si>
    <t>Potencial Original 
(bpd)</t>
  </si>
  <si>
    <t>Produção Original
(bpd)</t>
  </si>
  <si>
    <t>tempo Total (dias)
Original</t>
  </si>
  <si>
    <t>PR1</t>
  </si>
  <si>
    <t>PR2</t>
  </si>
  <si>
    <t>PR3</t>
  </si>
  <si>
    <t>PR4</t>
  </si>
  <si>
    <t>PR5</t>
  </si>
  <si>
    <t>PR6</t>
  </si>
  <si>
    <t>PR7</t>
  </si>
  <si>
    <t>PR8</t>
  </si>
  <si>
    <t>PR9</t>
  </si>
  <si>
    <t>PR10</t>
  </si>
  <si>
    <t>PR11</t>
  </si>
  <si>
    <t>PR12</t>
  </si>
  <si>
    <t>PR13</t>
  </si>
  <si>
    <t>PR14</t>
  </si>
  <si>
    <t>PR15</t>
  </si>
  <si>
    <t>PR16</t>
  </si>
  <si>
    <t>PR17</t>
  </si>
  <si>
    <t>PR18</t>
  </si>
  <si>
    <t>PR19</t>
  </si>
  <si>
    <t>PR20</t>
  </si>
  <si>
    <t>PR21</t>
  </si>
  <si>
    <t>PR22</t>
  </si>
  <si>
    <t>PR23</t>
  </si>
  <si>
    <t>PR24</t>
  </si>
  <si>
    <t>PR25</t>
  </si>
  <si>
    <t>PR0</t>
  </si>
  <si>
    <t>Prod.total Original</t>
  </si>
  <si>
    <t>PR26</t>
  </si>
  <si>
    <t>PR27</t>
  </si>
  <si>
    <t>PR28</t>
  </si>
  <si>
    <t>PR29</t>
  </si>
  <si>
    <t>PR30</t>
  </si>
  <si>
    <t>PR31</t>
  </si>
  <si>
    <t>PR32</t>
  </si>
  <si>
    <t>PR33</t>
  </si>
  <si>
    <t>PR34</t>
  </si>
  <si>
    <t>PR35</t>
  </si>
  <si>
    <t>PR36</t>
  </si>
  <si>
    <t>PR37</t>
  </si>
  <si>
    <t>PR38</t>
  </si>
  <si>
    <t>PR39</t>
  </si>
  <si>
    <t>PR40</t>
  </si>
  <si>
    <t>PR41</t>
  </si>
  <si>
    <t>PR42</t>
  </si>
  <si>
    <t>PR43</t>
  </si>
  <si>
    <t>PR44</t>
  </si>
  <si>
    <t>PR45</t>
  </si>
  <si>
    <t>PR46</t>
  </si>
  <si>
    <t>PR47</t>
  </si>
  <si>
    <t>PR48</t>
  </si>
  <si>
    <t>PR49</t>
  </si>
  <si>
    <t>PR50</t>
  </si>
  <si>
    <t>.......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</si>
</sst>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-* #,##0.00_-;\-* #,##0.00_-;_-* &quot;-&quot;??_-;_-@_-"/>
    <numFmt numFmtId="166" formatCode="_-* #,##0_-;\-* #,##0_-;_-* &quot;-&quot;??_-;_-@_-"/>
    <numFmt numFmtId="167" formatCode="0.0%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8"/>
      <color rgb="FF000000"/>
      <name val="Trebuchet MS"/>
      <family val="2"/>
    </font>
    <font>
      <sz val="11"/>
      <color rgb="FF000000"/>
      <name val="Calibri"/>
      <family val="2"/>
    </font>
    <font>
      <b/>
      <sz val="9"/>
      <color rgb="FF000000"/>
      <name val="Trebuchet MS"/>
      <family val="2"/>
    </font>
    <font>
      <sz val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7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</cellStyleXfs>
  <cellXfs count="56">
    <xf numFmtId="0" fontId="0" fillId="0" borderId="0" xfId="0"/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43" fontId="0" fillId="0" borderId="0" xfId="1" applyFont="1" applyAlignment="1">
      <alignment horizontal="center" vertical="center"/>
    </xf>
    <xf numFmtId="0" fontId="0" fillId="0" borderId="0" xfId="0" applyBorder="1"/>
    <xf numFmtId="166" fontId="0" fillId="0" borderId="0" xfId="1" applyNumberFormat="1" applyFont="1"/>
    <xf numFmtId="166" fontId="0" fillId="0" borderId="0" xfId="0" applyNumberFormat="1"/>
    <xf numFmtId="0" fontId="0" fillId="0" borderId="0" xfId="0"/>
    <xf numFmtId="0" fontId="0" fillId="0" borderId="1" xfId="0" applyBorder="1"/>
    <xf numFmtId="0" fontId="4" fillId="9" borderId="4" xfId="0" applyFont="1" applyFill="1" applyBorder="1" applyAlignment="1">
      <alignment horizontal="center" vertical="center"/>
    </xf>
    <xf numFmtId="0" fontId="4" fillId="9" borderId="6" xfId="0" applyFont="1" applyFill="1" applyBorder="1" applyAlignment="1">
      <alignment horizontal="center" vertical="center"/>
    </xf>
    <xf numFmtId="0" fontId="4" fillId="10" borderId="4" xfId="0" applyFont="1" applyFill="1" applyBorder="1" applyAlignment="1">
      <alignment horizontal="center" vertical="center"/>
    </xf>
    <xf numFmtId="0" fontId="4" fillId="10" borderId="6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43" fontId="0" fillId="0" borderId="1" xfId="1" applyFont="1" applyBorder="1" applyAlignment="1">
      <alignment horizontal="center" vertical="center"/>
    </xf>
    <xf numFmtId="166" fontId="0" fillId="0" borderId="1" xfId="1" applyNumberFormat="1" applyFont="1" applyBorder="1"/>
    <xf numFmtId="166" fontId="0" fillId="0" borderId="1" xfId="0" applyNumberFormat="1" applyBorder="1"/>
    <xf numFmtId="0" fontId="0" fillId="12" borderId="0" xfId="0" applyFill="1"/>
    <xf numFmtId="0" fontId="0" fillId="12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66" fontId="2" fillId="3" borderId="1" xfId="1" applyNumberFormat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166" fontId="0" fillId="2" borderId="1" xfId="0" applyNumberFormat="1" applyFill="1" applyBorder="1"/>
    <xf numFmtId="166" fontId="2" fillId="11" borderId="1" xfId="0" applyNumberFormat="1" applyFont="1" applyFill="1" applyBorder="1"/>
    <xf numFmtId="166" fontId="2" fillId="3" borderId="8" xfId="1" applyNumberFormat="1" applyFont="1" applyFill="1" applyBorder="1" applyAlignment="1">
      <alignment horizontal="center" vertical="center"/>
    </xf>
    <xf numFmtId="166" fontId="2" fillId="3" borderId="1" xfId="1" applyNumberFormat="1" applyFont="1" applyFill="1" applyBorder="1" applyAlignment="1">
      <alignment horizontal="center" vertical="center"/>
    </xf>
    <xf numFmtId="166" fontId="0" fillId="0" borderId="0" xfId="0" applyNumberFormat="1" applyFill="1"/>
    <xf numFmtId="166" fontId="4" fillId="9" borderId="6" xfId="1" applyNumberFormat="1" applyFont="1" applyFill="1" applyBorder="1" applyAlignment="1">
      <alignment horizontal="center" vertical="center"/>
    </xf>
    <xf numFmtId="166" fontId="4" fillId="10" borderId="6" xfId="1" applyNumberFormat="1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/>
    </xf>
    <xf numFmtId="0" fontId="4" fillId="6" borderId="6" xfId="0" applyFont="1" applyFill="1" applyBorder="1" applyAlignment="1">
      <alignment horizontal="center" vertical="center"/>
    </xf>
    <xf numFmtId="166" fontId="4" fillId="6" borderId="6" xfId="1" applyNumberFormat="1" applyFont="1" applyFill="1" applyBorder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0" fontId="4" fillId="5" borderId="6" xfId="0" applyFont="1" applyFill="1" applyBorder="1" applyAlignment="1">
      <alignment horizontal="center" vertical="center"/>
    </xf>
    <xf numFmtId="166" fontId="4" fillId="5" borderId="6" xfId="1" applyNumberFormat="1" applyFont="1" applyFill="1" applyBorder="1" applyAlignment="1">
      <alignment horizontal="center" vertical="center"/>
    </xf>
    <xf numFmtId="0" fontId="0" fillId="0" borderId="0" xfId="1" applyNumberFormat="1" applyFont="1"/>
    <xf numFmtId="166" fontId="2" fillId="3" borderId="2" xfId="1" applyNumberFormat="1" applyFont="1" applyFill="1" applyBorder="1" applyAlignment="1">
      <alignment horizontal="center" vertical="center" wrapText="1"/>
    </xf>
    <xf numFmtId="166" fontId="0" fillId="5" borderId="1" xfId="1" applyNumberFormat="1" applyFont="1" applyFill="1" applyBorder="1"/>
    <xf numFmtId="0" fontId="0" fillId="5" borderId="1" xfId="0" applyFill="1" applyBorder="1" applyAlignment="1">
      <alignment horizontal="center" vertical="center"/>
    </xf>
    <xf numFmtId="166" fontId="0" fillId="7" borderId="1" xfId="1" applyNumberFormat="1" applyFont="1" applyFill="1" applyBorder="1"/>
    <xf numFmtId="166" fontId="0" fillId="5" borderId="0" xfId="1" applyNumberFormat="1" applyFont="1" applyFill="1"/>
    <xf numFmtId="166" fontId="2" fillId="3" borderId="3" xfId="1" applyNumberFormat="1" applyFont="1" applyFill="1" applyBorder="1" applyAlignment="1">
      <alignment horizontal="center" vertical="center" wrapText="1"/>
    </xf>
    <xf numFmtId="0" fontId="0" fillId="0" borderId="0" xfId="0" applyFill="1" applyBorder="1"/>
    <xf numFmtId="9" fontId="0" fillId="0" borderId="0" xfId="2" applyFont="1"/>
    <xf numFmtId="166" fontId="0" fillId="12" borderId="0" xfId="0" applyNumberFormat="1" applyFill="1"/>
    <xf numFmtId="167" fontId="0" fillId="12" borderId="0" xfId="2" applyNumberFormat="1" applyFont="1" applyFill="1"/>
    <xf numFmtId="166" fontId="6" fillId="8" borderId="5" xfId="1" applyNumberFormat="1" applyFont="1" applyFill="1" applyBorder="1" applyAlignment="1">
      <alignment horizontal="center" vertical="center" wrapText="1"/>
    </xf>
    <xf numFmtId="166" fontId="6" fillId="8" borderId="4" xfId="1" applyNumberFormat="1" applyFont="1" applyFill="1" applyBorder="1" applyAlignment="1">
      <alignment horizontal="center" vertical="center" wrapText="1"/>
    </xf>
    <xf numFmtId="0" fontId="6" fillId="8" borderId="5" xfId="0" applyFont="1" applyFill="1" applyBorder="1" applyAlignment="1">
      <alignment horizontal="center" vertical="center" wrapText="1"/>
    </xf>
    <xf numFmtId="0" fontId="6" fillId="8" borderId="4" xfId="0" applyFont="1" applyFill="1" applyBorder="1" applyAlignment="1">
      <alignment horizontal="center" vertical="center" wrapText="1"/>
    </xf>
    <xf numFmtId="0" fontId="6" fillId="8" borderId="7" xfId="0" applyFont="1" applyFill="1" applyBorder="1" applyAlignment="1">
      <alignment horizontal="center" vertical="center" wrapText="1"/>
    </xf>
  </cellXfs>
  <cellStyles count="17">
    <cellStyle name="À‰" xfId="4" xr:uid="{00000000-0005-0000-0000-000000000000}"/>
    <cellStyle name="Normal" xfId="0" builtinId="0"/>
    <cellStyle name="Normal 2" xfId="3" xr:uid="{00000000-0005-0000-0000-000003000000}"/>
    <cellStyle name="Normal 3" xfId="7" xr:uid="{00000000-0005-0000-0000-000004000000}"/>
    <cellStyle name="Normal 4" xfId="10" xr:uid="{00000000-0005-0000-0000-000005000000}"/>
    <cellStyle name="Normal 5" xfId="14" xr:uid="{00000000-0005-0000-0000-000006000000}"/>
    <cellStyle name="Porcentagem" xfId="2" builtinId="5"/>
    <cellStyle name="Porcentagem 2" xfId="5" xr:uid="{00000000-0005-0000-0000-000008000000}"/>
    <cellStyle name="Porcentagem 3" xfId="8" xr:uid="{00000000-0005-0000-0000-000009000000}"/>
    <cellStyle name="Porcentagem 4" xfId="11" xr:uid="{00000000-0005-0000-0000-00000A000000}"/>
    <cellStyle name="Porcentagem 5" xfId="15" xr:uid="{00000000-0005-0000-0000-00000B000000}"/>
    <cellStyle name="Vírgula" xfId="1" builtinId="3"/>
    <cellStyle name="Vírgula 2" xfId="6" xr:uid="{00000000-0005-0000-0000-00000D000000}"/>
    <cellStyle name="Vírgula 3" xfId="9" xr:uid="{00000000-0005-0000-0000-00000E000000}"/>
    <cellStyle name="Vírgula 4" xfId="12" xr:uid="{00000000-0005-0000-0000-00000F000000}"/>
    <cellStyle name="Vírgula 5" xfId="16" xr:uid="{00000000-0005-0000-0000-000010000000}"/>
    <cellStyle name="Vírgula 6" xfId="13" xr:uid="{00000000-0005-0000-0000-00001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colors>
    <mruColors>
      <color rgb="FFCC0099"/>
      <color rgb="FFFF99CC"/>
      <color rgb="FFFF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5" Type="http://schemas.microsoft.com/office/2006/relationships/vbaProject" Target="vbaProject.bin"/><Relationship Id="rId10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Curva de Ramp up (bpd)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6"/>
          <c:order val="0"/>
          <c:tx>
            <c:strRef>
              <c:f>'MODELOfinal (2)'!$O$1</c:f>
              <c:strCache>
                <c:ptCount val="1"/>
                <c:pt idx="0">
                  <c:v> PR1 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'MODELOfinal (2)'!$O$2:$O$17</c:f>
              <c:numCache>
                <c:formatCode>_-* #,##0_-;\-* #,##0_-;_-* "-"??_-;_-@_-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210420.39657836914</c:v>
                </c:pt>
                <c:pt idx="5">
                  <c:v>210420.39657836914</c:v>
                </c:pt>
                <c:pt idx="6">
                  <c:v>3709407.3623083695</c:v>
                </c:pt>
                <c:pt idx="7">
                  <c:v>3963905.3078817027</c:v>
                </c:pt>
                <c:pt idx="8">
                  <c:v>3963905.3078817027</c:v>
                </c:pt>
                <c:pt idx="9">
                  <c:v>4237429.0181653127</c:v>
                </c:pt>
                <c:pt idx="10">
                  <c:v>4405061.4650276992</c:v>
                </c:pt>
                <c:pt idx="11">
                  <c:v>4572693.9118900858</c:v>
                </c:pt>
                <c:pt idx="12">
                  <c:v>10281836.133143419</c:v>
                </c:pt>
                <c:pt idx="13">
                  <c:v>10431260.540568143</c:v>
                </c:pt>
                <c:pt idx="14">
                  <c:v>13450841.880168144</c:v>
                </c:pt>
                <c:pt idx="15">
                  <c:v>15470840.533568144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4C-465C-A8DC-3966135D3792}"/>
            </c:ext>
          </c:extLst>
        </c:ser>
        <c:ser>
          <c:idx val="0"/>
          <c:order val="1"/>
          <c:tx>
            <c:strRef>
              <c:f>'MODELOfinal (2)'!$P$1</c:f>
              <c:strCache>
                <c:ptCount val="1"/>
                <c:pt idx="0">
                  <c:v> PR2 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'MODELOfinal (2)'!$P$2:$P$17</c:f>
              <c:numCache>
                <c:formatCode>_-* #,##0_-;\-* #,##0_-;_-* "-"??_-;_-@_-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2019998.6534</c:v>
                </c:pt>
                <c:pt idx="3">
                  <c:v>2169423.0608247234</c:v>
                </c:pt>
                <c:pt idx="4">
                  <c:v>2337055.5076871095</c:v>
                </c:pt>
                <c:pt idx="5">
                  <c:v>2337055.5076871095</c:v>
                </c:pt>
                <c:pt idx="6">
                  <c:v>8046197.7289404431</c:v>
                </c:pt>
                <c:pt idx="7">
                  <c:v>8300695.6745137768</c:v>
                </c:pt>
                <c:pt idx="8">
                  <c:v>8300695.6745137768</c:v>
                </c:pt>
                <c:pt idx="9">
                  <c:v>8468328.1213761624</c:v>
                </c:pt>
                <c:pt idx="10">
                  <c:v>11913327.358752828</c:v>
                </c:pt>
                <c:pt idx="11">
                  <c:v>11913327.358752828</c:v>
                </c:pt>
                <c:pt idx="12">
                  <c:v>12123747.755331198</c:v>
                </c:pt>
                <c:pt idx="13">
                  <c:v>12397271.465614807</c:v>
                </c:pt>
                <c:pt idx="14">
                  <c:v>12397271.465614807</c:v>
                </c:pt>
                <c:pt idx="15">
                  <c:v>15896258.431344807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4C-465C-A8DC-3966135D3792}"/>
            </c:ext>
          </c:extLst>
        </c:ser>
        <c:ser>
          <c:idx val="1"/>
          <c:order val="2"/>
          <c:tx>
            <c:strRef>
              <c:f>'MODELOfinal (2)'!$Q$1</c:f>
              <c:strCache>
                <c:ptCount val="1"/>
                <c:pt idx="0">
                  <c:v> PR3 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'MODELOfinal (2)'!$Q$2:$Q$17</c:f>
              <c:numCache>
                <c:formatCode>_-* #,##0_-;\-* #,##0_-;_-* "-"??_-;_-@_-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3444999.2373766666</c:v>
                </c:pt>
                <c:pt idx="3">
                  <c:v>3444999.2373766666</c:v>
                </c:pt>
                <c:pt idx="4">
                  <c:v>3444999.2373766666</c:v>
                </c:pt>
                <c:pt idx="5">
                  <c:v>3594423.6448013899</c:v>
                </c:pt>
                <c:pt idx="6">
                  <c:v>3867947.3550849999</c:v>
                </c:pt>
                <c:pt idx="7">
                  <c:v>4035579.801947386</c:v>
                </c:pt>
                <c:pt idx="8">
                  <c:v>4035579.801947386</c:v>
                </c:pt>
                <c:pt idx="9">
                  <c:v>4290077.7475207197</c:v>
                </c:pt>
                <c:pt idx="10">
                  <c:v>6310076.4009207198</c:v>
                </c:pt>
                <c:pt idx="11">
                  <c:v>9329657.7405207194</c:v>
                </c:pt>
                <c:pt idx="12">
                  <c:v>9329657.7405207194</c:v>
                </c:pt>
                <c:pt idx="13">
                  <c:v>15038799.961774053</c:v>
                </c:pt>
                <c:pt idx="14">
                  <c:v>18537786.927504055</c:v>
                </c:pt>
                <c:pt idx="15">
                  <c:v>18705419.37436644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C4C-465C-A8DC-3966135D3792}"/>
            </c:ext>
          </c:extLst>
        </c:ser>
        <c:ser>
          <c:idx val="3"/>
          <c:order val="3"/>
          <c:tx>
            <c:strRef>
              <c:f>'MODELOfinal (2)'!$R$1</c:f>
              <c:strCache>
                <c:ptCount val="1"/>
                <c:pt idx="0">
                  <c:v> PR4 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'MODELOfinal (2)'!$R$2:$R$17</c:f>
              <c:numCache>
                <c:formatCode>_-* #,##0_-;\-* #,##0_-;_-* "-"??_-;_-@_-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210420.39657836914</c:v>
                </c:pt>
                <c:pt idx="4">
                  <c:v>5919562.6178317042</c:v>
                </c:pt>
                <c:pt idx="5">
                  <c:v>5919562.6178317042</c:v>
                </c:pt>
                <c:pt idx="6">
                  <c:v>6087195.0646940898</c:v>
                </c:pt>
                <c:pt idx="7">
                  <c:v>6087195.0646940898</c:v>
                </c:pt>
                <c:pt idx="8">
                  <c:v>6254827.5115564764</c:v>
                </c:pt>
                <c:pt idx="9">
                  <c:v>6528351.2218400864</c:v>
                </c:pt>
                <c:pt idx="10">
                  <c:v>10027338.187570088</c:v>
                </c:pt>
                <c:pt idx="11">
                  <c:v>10027338.187570088</c:v>
                </c:pt>
                <c:pt idx="12">
                  <c:v>13472337.424946755</c:v>
                </c:pt>
                <c:pt idx="13">
                  <c:v>13726835.370520089</c:v>
                </c:pt>
                <c:pt idx="14">
                  <c:v>15746834.023920089</c:v>
                </c:pt>
                <c:pt idx="15">
                  <c:v>18766415.36352009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4C-465C-A8DC-3966135D3792}"/>
            </c:ext>
          </c:extLst>
        </c:ser>
        <c:ser>
          <c:idx val="4"/>
          <c:order val="4"/>
          <c:tx>
            <c:strRef>
              <c:f>'MODELOfinal (2)'!$S$1</c:f>
              <c:strCache>
                <c:ptCount val="1"/>
                <c:pt idx="0">
                  <c:v> PR5 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'MODELOfinal (2)'!$S$2:$S$17</c:f>
              <c:numCache>
                <c:formatCode>_-* #,##0_-;\-* #,##0_-;_-* "-"??_-;_-@_-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5709142.2212533336</c:v>
                </c:pt>
                <c:pt idx="3">
                  <c:v>5876774.6681157202</c:v>
                </c:pt>
                <c:pt idx="4">
                  <c:v>5876774.6681157202</c:v>
                </c:pt>
                <c:pt idx="5">
                  <c:v>7896773.3215157203</c:v>
                </c:pt>
                <c:pt idx="6">
                  <c:v>7896773.3215157203</c:v>
                </c:pt>
                <c:pt idx="7">
                  <c:v>8107193.7180940891</c:v>
                </c:pt>
                <c:pt idx="8">
                  <c:v>8274826.1649564747</c:v>
                </c:pt>
                <c:pt idx="9">
                  <c:v>8274826.1649564747</c:v>
                </c:pt>
                <c:pt idx="10">
                  <c:v>11719825.40233314</c:v>
                </c:pt>
                <c:pt idx="11">
                  <c:v>15218812.368063141</c:v>
                </c:pt>
                <c:pt idx="12">
                  <c:v>15492336.078346752</c:v>
                </c:pt>
                <c:pt idx="13">
                  <c:v>18511917.417946752</c:v>
                </c:pt>
                <c:pt idx="14">
                  <c:v>18661341.825371474</c:v>
                </c:pt>
                <c:pt idx="15">
                  <c:v>18915839.770944808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C4C-465C-A8DC-3966135D37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1859679439"/>
        <c:axId val="1859679855"/>
      </c:lineChart>
      <c:catAx>
        <c:axId val="18596794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59679855"/>
        <c:crosses val="autoZero"/>
        <c:auto val="1"/>
        <c:lblAlgn val="ctr"/>
        <c:lblOffset val="100"/>
        <c:noMultiLvlLbl val="0"/>
      </c:catAx>
      <c:valAx>
        <c:axId val="1859679855"/>
        <c:scaling>
          <c:orientation val="minMax"/>
        </c:scaling>
        <c:delete val="0"/>
        <c:axPos val="l"/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59679439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963557704893184"/>
          <c:y val="0.31795172058831689"/>
          <c:w val="7.0582487430035104E-2"/>
          <c:h val="0.2246828047207914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Curva de Ramp up (bpd)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6"/>
          <c:order val="0"/>
          <c:tx>
            <c:strRef>
              <c:f>MODELOfinal!$O$1</c:f>
              <c:strCache>
                <c:ptCount val="1"/>
                <c:pt idx="0">
                  <c:v> PR1 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MODELOfinal!$O$2:$O$17</c:f>
              <c:numCache>
                <c:formatCode>_-* #,##0_-;\-* #,##0_-;_-* "-"??_-;_-@_-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273523.71028361004</c:v>
                </c:pt>
                <c:pt idx="3">
                  <c:v>273523.71028361004</c:v>
                </c:pt>
                <c:pt idx="4">
                  <c:v>5982665.9315369437</c:v>
                </c:pt>
                <c:pt idx="5">
                  <c:v>6132090.3389616674</c:v>
                </c:pt>
                <c:pt idx="6">
                  <c:v>6386588.284535001</c:v>
                </c:pt>
                <c:pt idx="7">
                  <c:v>6386588.284535001</c:v>
                </c:pt>
                <c:pt idx="8">
                  <c:v>6554220.7313973866</c:v>
                </c:pt>
                <c:pt idx="9">
                  <c:v>9573802.0709973872</c:v>
                </c:pt>
                <c:pt idx="10">
                  <c:v>11593800.724397387</c:v>
                </c:pt>
                <c:pt idx="11">
                  <c:v>11593800.724397387</c:v>
                </c:pt>
                <c:pt idx="12">
                  <c:v>15038799.961774055</c:v>
                </c:pt>
                <c:pt idx="13">
                  <c:v>15249220.358352425</c:v>
                </c:pt>
                <c:pt idx="14">
                  <c:v>15249220.358352425</c:v>
                </c:pt>
                <c:pt idx="15">
                  <c:v>18748207.324082427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2B8-4B18-985B-6638A4D55630}"/>
            </c:ext>
          </c:extLst>
        </c:ser>
        <c:ser>
          <c:idx val="0"/>
          <c:order val="1"/>
          <c:tx>
            <c:strRef>
              <c:f>MODELOfinal!$P$1</c:f>
              <c:strCache>
                <c:ptCount val="1"/>
                <c:pt idx="0">
                  <c:v> PR2 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MODELOfinal!$P$2:$P$17</c:f>
              <c:numCache>
                <c:formatCode>_-* #,##0_-;\-* #,##0_-;_-* "-"??_-;_-@_-</c:formatCode>
                <c:ptCount val="16"/>
                <c:pt idx="0">
                  <c:v>0</c:v>
                </c:pt>
                <c:pt idx="1">
                  <c:v>3019581.3396000001</c:v>
                </c:pt>
                <c:pt idx="2">
                  <c:v>3293105.0498836101</c:v>
                </c:pt>
                <c:pt idx="3">
                  <c:v>6792092.0156136099</c:v>
                </c:pt>
                <c:pt idx="4">
                  <c:v>6792092.0156136099</c:v>
                </c:pt>
                <c:pt idx="5">
                  <c:v>7046589.9611869436</c:v>
                </c:pt>
                <c:pt idx="6">
                  <c:v>7046589.9611869436</c:v>
                </c:pt>
                <c:pt idx="7">
                  <c:v>12755732.182440277</c:v>
                </c:pt>
                <c:pt idx="8">
                  <c:v>12755732.182440277</c:v>
                </c:pt>
                <c:pt idx="9">
                  <c:v>14775730.835840277</c:v>
                </c:pt>
                <c:pt idx="10">
                  <c:v>14925155.243265001</c:v>
                </c:pt>
                <c:pt idx="11">
                  <c:v>14925155.243265001</c:v>
                </c:pt>
                <c:pt idx="12">
                  <c:v>14925155.243265001</c:v>
                </c:pt>
                <c:pt idx="13">
                  <c:v>18370154.480641667</c:v>
                </c:pt>
                <c:pt idx="14">
                  <c:v>18537786.927504051</c:v>
                </c:pt>
                <c:pt idx="15">
                  <c:v>18748207.324082419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B8-4B18-985B-6638A4D55630}"/>
            </c:ext>
          </c:extLst>
        </c:ser>
        <c:ser>
          <c:idx val="1"/>
          <c:order val="2"/>
          <c:tx>
            <c:strRef>
              <c:f>MODELOfinal!$Q$1</c:f>
              <c:strCache>
                <c:ptCount val="1"/>
                <c:pt idx="0">
                  <c:v> PR3 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MODELOfinal!$Q$2:$Q$17</c:f>
              <c:numCache>
                <c:formatCode>_-* #,##0_-;\-* #,##0_-;_-* "-"??_-;_-@_-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5709142.2212533336</c:v>
                </c:pt>
                <c:pt idx="3">
                  <c:v>5876774.6681157202</c:v>
                </c:pt>
                <c:pt idx="4">
                  <c:v>9375761.6338457204</c:v>
                </c:pt>
                <c:pt idx="5">
                  <c:v>9649285.3441293314</c:v>
                </c:pt>
                <c:pt idx="6">
                  <c:v>13094284.581505999</c:v>
                </c:pt>
                <c:pt idx="7">
                  <c:v>13094284.581505999</c:v>
                </c:pt>
                <c:pt idx="8">
                  <c:v>13094284.581505999</c:v>
                </c:pt>
                <c:pt idx="9">
                  <c:v>13261917.028368386</c:v>
                </c:pt>
                <c:pt idx="10">
                  <c:v>13472337.424946755</c:v>
                </c:pt>
                <c:pt idx="11">
                  <c:v>16491918.764546756</c:v>
                </c:pt>
                <c:pt idx="12">
                  <c:v>16491918.764546756</c:v>
                </c:pt>
                <c:pt idx="13">
                  <c:v>16641343.171971479</c:v>
                </c:pt>
                <c:pt idx="14">
                  <c:v>16641343.171971479</c:v>
                </c:pt>
                <c:pt idx="15">
                  <c:v>18661341.825371478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B8-4B18-985B-6638A4D55630}"/>
            </c:ext>
          </c:extLst>
        </c:ser>
        <c:ser>
          <c:idx val="3"/>
          <c:order val="3"/>
          <c:tx>
            <c:strRef>
              <c:f>MODELOfinal!$R$1</c:f>
              <c:strCache>
                <c:ptCount val="1"/>
                <c:pt idx="0">
                  <c:v> PR4 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MODELOfinal!$R$2:$R$17</c:f>
              <c:numCache>
                <c:formatCode>_-* #,##0_-;\-* #,##0_-;_-* "-"??_-;_-@_-</c:formatCode>
                <c:ptCount val="16"/>
                <c:pt idx="0">
                  <c:v>0</c:v>
                </c:pt>
                <c:pt idx="1">
                  <c:v>3498986.9657300003</c:v>
                </c:pt>
                <c:pt idx="2">
                  <c:v>3498986.9657300003</c:v>
                </c:pt>
                <c:pt idx="3">
                  <c:v>3498986.9657300003</c:v>
                </c:pt>
                <c:pt idx="4">
                  <c:v>3666619.4125923864</c:v>
                </c:pt>
                <c:pt idx="5">
                  <c:v>3666619.4125923864</c:v>
                </c:pt>
                <c:pt idx="6">
                  <c:v>7111618.6499690525</c:v>
                </c:pt>
                <c:pt idx="7">
                  <c:v>7385142.3602526626</c:v>
                </c:pt>
                <c:pt idx="8">
                  <c:v>7552774.8071150482</c:v>
                </c:pt>
                <c:pt idx="9">
                  <c:v>13261917.028368382</c:v>
                </c:pt>
                <c:pt idx="10">
                  <c:v>13261917.028368382</c:v>
                </c:pt>
                <c:pt idx="11">
                  <c:v>13261917.028368382</c:v>
                </c:pt>
                <c:pt idx="12">
                  <c:v>13411341.435793106</c:v>
                </c:pt>
                <c:pt idx="13">
                  <c:v>15431340.089193106</c:v>
                </c:pt>
                <c:pt idx="14">
                  <c:v>15641760.485771475</c:v>
                </c:pt>
                <c:pt idx="15">
                  <c:v>18661341.825371474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2B8-4B18-985B-6638A4D55630}"/>
            </c:ext>
          </c:extLst>
        </c:ser>
        <c:ser>
          <c:idx val="4"/>
          <c:order val="4"/>
          <c:tx>
            <c:strRef>
              <c:f>MODELOfinal!$S$1</c:f>
              <c:strCache>
                <c:ptCount val="1"/>
                <c:pt idx="0">
                  <c:v> PR5 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MODELOfinal!$S$2:$S$17</c:f>
              <c:numCache>
                <c:formatCode>_-* #,##0_-;\-* #,##0_-;_-* "-"??_-;_-@_-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5709142.2212533336</c:v>
                </c:pt>
                <c:pt idx="3">
                  <c:v>7729140.8746533338</c:v>
                </c:pt>
                <c:pt idx="4">
                  <c:v>7878565.2820780575</c:v>
                </c:pt>
                <c:pt idx="5">
                  <c:v>7878565.2820780575</c:v>
                </c:pt>
                <c:pt idx="6">
                  <c:v>8152088.9923616676</c:v>
                </c:pt>
                <c:pt idx="7">
                  <c:v>8406586.9379350003</c:v>
                </c:pt>
                <c:pt idx="8">
                  <c:v>11851586.175311666</c:v>
                </c:pt>
                <c:pt idx="9">
                  <c:v>11851586.175311666</c:v>
                </c:pt>
                <c:pt idx="10">
                  <c:v>12019218.622174053</c:v>
                </c:pt>
                <c:pt idx="11">
                  <c:v>15518205.587904053</c:v>
                </c:pt>
                <c:pt idx="12">
                  <c:v>15518205.587904053</c:v>
                </c:pt>
                <c:pt idx="13">
                  <c:v>15518205.587904053</c:v>
                </c:pt>
                <c:pt idx="14">
                  <c:v>15728625.984482422</c:v>
                </c:pt>
                <c:pt idx="15">
                  <c:v>15896258.431344809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2B8-4B18-985B-6638A4D55630}"/>
            </c:ext>
          </c:extLst>
        </c:ser>
        <c:ser>
          <c:idx val="5"/>
          <c:order val="5"/>
          <c:tx>
            <c:strRef>
              <c:f>MODELOfinal!$T$1</c:f>
              <c:strCache>
                <c:ptCount val="1"/>
                <c:pt idx="0">
                  <c:v> PR6 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MODELOfinal!$T$2:$T$17</c:f>
              <c:numCache>
                <c:formatCode>_-* #,##0_-;\-* #,##0_-;_-* "-"??_-;_-@_-</c:formatCode>
                <c:ptCount val="16"/>
                <c:pt idx="0">
                  <c:v>0</c:v>
                </c:pt>
                <c:pt idx="1">
                  <c:v>167632.44686238607</c:v>
                </c:pt>
                <c:pt idx="2">
                  <c:v>335264.89372477215</c:v>
                </c:pt>
                <c:pt idx="3">
                  <c:v>6044407.1149781058</c:v>
                </c:pt>
                <c:pt idx="4">
                  <c:v>6044407.1149781058</c:v>
                </c:pt>
                <c:pt idx="5">
                  <c:v>6298905.0605514394</c:v>
                </c:pt>
                <c:pt idx="6">
                  <c:v>6298905.0605514394</c:v>
                </c:pt>
                <c:pt idx="7">
                  <c:v>9743904.297928106</c:v>
                </c:pt>
                <c:pt idx="8">
                  <c:v>12763485.637528107</c:v>
                </c:pt>
                <c:pt idx="9">
                  <c:v>12912910.04495283</c:v>
                </c:pt>
                <c:pt idx="10">
                  <c:v>13123330.4415312</c:v>
                </c:pt>
                <c:pt idx="11">
                  <c:v>13123330.4415312</c:v>
                </c:pt>
                <c:pt idx="12">
                  <c:v>15143329.0949312</c:v>
                </c:pt>
                <c:pt idx="13">
                  <c:v>18642316.0606612</c:v>
                </c:pt>
                <c:pt idx="14">
                  <c:v>18915839.770944811</c:v>
                </c:pt>
                <c:pt idx="15">
                  <c:v>18915839.770944811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2B8-4B18-985B-6638A4D55630}"/>
            </c:ext>
          </c:extLst>
        </c:ser>
        <c:ser>
          <c:idx val="2"/>
          <c:order val="6"/>
          <c:tx>
            <c:strRef>
              <c:f>MODELOfinal!$U$1</c:f>
              <c:strCache>
                <c:ptCount val="1"/>
                <c:pt idx="0">
                  <c:v> PR7 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MODELOfinal!$U$2:$U$17</c:f>
              <c:numCache>
                <c:formatCode>_-* #,##0_-;\-* #,##0_-;_-* "-"??_-;_-@_-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254497.94557333333</c:v>
                </c:pt>
                <c:pt idx="5">
                  <c:v>3753484.9113033335</c:v>
                </c:pt>
                <c:pt idx="6">
                  <c:v>3902909.3187280567</c:v>
                </c:pt>
                <c:pt idx="7">
                  <c:v>4070541.7655904428</c:v>
                </c:pt>
                <c:pt idx="8">
                  <c:v>4070541.7655904428</c:v>
                </c:pt>
                <c:pt idx="9">
                  <c:v>9779683.986843776</c:v>
                </c:pt>
                <c:pt idx="10">
                  <c:v>10053207.697127387</c:v>
                </c:pt>
                <c:pt idx="11">
                  <c:v>10263628.093705757</c:v>
                </c:pt>
                <c:pt idx="12">
                  <c:v>13708627.331082422</c:v>
                </c:pt>
                <c:pt idx="13">
                  <c:v>16728208.670682423</c:v>
                </c:pt>
                <c:pt idx="14">
                  <c:v>16728208.670682423</c:v>
                </c:pt>
                <c:pt idx="15">
                  <c:v>18748207.324082423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2B8-4B18-985B-6638A4D55630}"/>
            </c:ext>
          </c:extLst>
        </c:ser>
        <c:ser>
          <c:idx val="7"/>
          <c:order val="7"/>
          <c:tx>
            <c:strRef>
              <c:f>MODELOfinal!$V$1</c:f>
              <c:strCache>
                <c:ptCount val="1"/>
                <c:pt idx="0">
                  <c:v> PR8 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MODELOfinal!$V$2:$V$17</c:f>
              <c:numCache>
                <c:formatCode>_-* #,##0_-;\-* #,##0_-;_-* "-"??_-;_-@_-</c:formatCode>
                <c:ptCount val="16"/>
                <c:pt idx="0">
                  <c:v>0</c:v>
                </c:pt>
                <c:pt idx="1">
                  <c:v>254497.94557333333</c:v>
                </c:pt>
                <c:pt idx="2">
                  <c:v>3274079.2851733332</c:v>
                </c:pt>
                <c:pt idx="3">
                  <c:v>3274079.2851733332</c:v>
                </c:pt>
                <c:pt idx="4">
                  <c:v>3274079.2851733332</c:v>
                </c:pt>
                <c:pt idx="5">
                  <c:v>3274079.2851733332</c:v>
                </c:pt>
                <c:pt idx="6">
                  <c:v>3441711.7320357193</c:v>
                </c:pt>
                <c:pt idx="7">
                  <c:v>6886710.9694123864</c:v>
                </c:pt>
                <c:pt idx="8">
                  <c:v>8906709.6228123866</c:v>
                </c:pt>
                <c:pt idx="9">
                  <c:v>9056134.0302371103</c:v>
                </c:pt>
                <c:pt idx="10">
                  <c:v>9223766.4770994969</c:v>
                </c:pt>
                <c:pt idx="11">
                  <c:v>9223766.4770994969</c:v>
                </c:pt>
                <c:pt idx="12">
                  <c:v>9434186.8736778665</c:v>
                </c:pt>
                <c:pt idx="13">
                  <c:v>15143329.0949312</c:v>
                </c:pt>
                <c:pt idx="14">
                  <c:v>18642316.0606612</c:v>
                </c:pt>
                <c:pt idx="15">
                  <c:v>18642316.0606612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2B8-4B18-985B-6638A4D55630}"/>
            </c:ext>
          </c:extLst>
        </c:ser>
        <c:ser>
          <c:idx val="8"/>
          <c:order val="8"/>
          <c:tx>
            <c:strRef>
              <c:f>MODELOfinal!$W$1</c:f>
              <c:strCache>
                <c:ptCount val="1"/>
                <c:pt idx="0">
                  <c:v> PR9 </c:v>
                </c:pt>
              </c:strCache>
            </c:strRef>
          </c:tx>
          <c:spPr>
            <a:ln w="22225" cap="rnd" cmpd="sng" algn="ctr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MODELOfinal!$W$2:$W$17</c:f>
              <c:numCache>
                <c:formatCode>_-* #,##0_-;\-* #,##0_-;_-* "-"??_-;_-@_-</c:formatCode>
                <c:ptCount val="16"/>
                <c:pt idx="0">
                  <c:v>0</c:v>
                </c:pt>
                <c:pt idx="1">
                  <c:v>5709142.2212533336</c:v>
                </c:pt>
                <c:pt idx="2">
                  <c:v>7729140.8746533338</c:v>
                </c:pt>
                <c:pt idx="3">
                  <c:v>10748722.214253334</c:v>
                </c:pt>
                <c:pt idx="4">
                  <c:v>10916354.661115721</c:v>
                </c:pt>
                <c:pt idx="5">
                  <c:v>10916354.661115721</c:v>
                </c:pt>
                <c:pt idx="6">
                  <c:v>10916354.661115721</c:v>
                </c:pt>
                <c:pt idx="7">
                  <c:v>14415341.626845721</c:v>
                </c:pt>
                <c:pt idx="8">
                  <c:v>14415341.626845721</c:v>
                </c:pt>
                <c:pt idx="9">
                  <c:v>14625762.023424091</c:v>
                </c:pt>
                <c:pt idx="10">
                  <c:v>18070761.260800757</c:v>
                </c:pt>
                <c:pt idx="11">
                  <c:v>18070761.260800757</c:v>
                </c:pt>
                <c:pt idx="12">
                  <c:v>18070761.260800757</c:v>
                </c:pt>
                <c:pt idx="13">
                  <c:v>18220185.668225478</c:v>
                </c:pt>
                <c:pt idx="14">
                  <c:v>18387818.115087863</c:v>
                </c:pt>
                <c:pt idx="15">
                  <c:v>18642316.060661197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2B8-4B18-985B-6638A4D55630}"/>
            </c:ext>
          </c:extLst>
        </c:ser>
        <c:ser>
          <c:idx val="9"/>
          <c:order val="9"/>
          <c:tx>
            <c:strRef>
              <c:f>MODELOfinal!$X$1</c:f>
              <c:strCache>
                <c:ptCount val="1"/>
                <c:pt idx="0">
                  <c:v> PR10 </c:v>
                </c:pt>
              </c:strCache>
            </c:strRef>
          </c:tx>
          <c:spPr>
            <a:ln w="22225" cap="rnd" cmpd="sng" algn="ctr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MODELOfinal!$X$2:$X$17</c:f>
              <c:numCache>
                <c:formatCode>_-* #,##0_-;\-* #,##0_-;_-* "-"??_-;_-@_-</c:formatCode>
                <c:ptCount val="16"/>
                <c:pt idx="0">
                  <c:v>0</c:v>
                </c:pt>
                <c:pt idx="1">
                  <c:v>167632.44686238607</c:v>
                </c:pt>
                <c:pt idx="2">
                  <c:v>441156.15714599611</c:v>
                </c:pt>
                <c:pt idx="3">
                  <c:v>3940143.1228759964</c:v>
                </c:pt>
                <c:pt idx="4">
                  <c:v>6959724.4624759965</c:v>
                </c:pt>
                <c:pt idx="5">
                  <c:v>7214222.4080493301</c:v>
                </c:pt>
                <c:pt idx="6">
                  <c:v>7214222.4080493301</c:v>
                </c:pt>
                <c:pt idx="7">
                  <c:v>7214222.4080493301</c:v>
                </c:pt>
                <c:pt idx="8">
                  <c:v>7214222.4080493301</c:v>
                </c:pt>
                <c:pt idx="9">
                  <c:v>10659221.645425998</c:v>
                </c:pt>
                <c:pt idx="10">
                  <c:v>10659221.645425998</c:v>
                </c:pt>
                <c:pt idx="11">
                  <c:v>16368363.866679331</c:v>
                </c:pt>
                <c:pt idx="12">
                  <c:v>16535996.313541718</c:v>
                </c:pt>
                <c:pt idx="13">
                  <c:v>16535996.313541718</c:v>
                </c:pt>
                <c:pt idx="14">
                  <c:v>16746416.710120087</c:v>
                </c:pt>
                <c:pt idx="15">
                  <c:v>18766415.363520086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12B8-4B18-985B-6638A4D55630}"/>
            </c:ext>
          </c:extLst>
        </c:ser>
        <c:ser>
          <c:idx val="10"/>
          <c:order val="10"/>
          <c:tx>
            <c:strRef>
              <c:f>MODELOfinal!$Y$1</c:f>
              <c:strCache>
                <c:ptCount val="1"/>
                <c:pt idx="0">
                  <c:v> PR11 </c:v>
                </c:pt>
              </c:strCache>
            </c:strRef>
          </c:tx>
          <c:spPr>
            <a:ln w="22225" cap="rnd" cmpd="sng" algn="ctr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MODELOfinal!$Y$2:$Y$17</c:f>
              <c:numCache>
                <c:formatCode>_-* #,##0_-;\-* #,##0_-;_-* "-"??_-;_-@_-</c:formatCode>
                <c:ptCount val="16"/>
                <c:pt idx="0">
                  <c:v>0</c:v>
                </c:pt>
                <c:pt idx="1">
                  <c:v>167632.44686238607</c:v>
                </c:pt>
                <c:pt idx="2">
                  <c:v>3612631.6842390527</c:v>
                </c:pt>
                <c:pt idx="3">
                  <c:v>3823052.0808174219</c:v>
                </c:pt>
                <c:pt idx="4">
                  <c:v>7322039.0465474222</c:v>
                </c:pt>
                <c:pt idx="5">
                  <c:v>7595562.7568310322</c:v>
                </c:pt>
                <c:pt idx="6">
                  <c:v>7595562.7568310322</c:v>
                </c:pt>
                <c:pt idx="7">
                  <c:v>7595562.7568310322</c:v>
                </c:pt>
                <c:pt idx="8">
                  <c:v>7763195.2036934178</c:v>
                </c:pt>
                <c:pt idx="9">
                  <c:v>7912619.6111181416</c:v>
                </c:pt>
                <c:pt idx="10">
                  <c:v>7912619.6111181416</c:v>
                </c:pt>
                <c:pt idx="11">
                  <c:v>10932200.950718142</c:v>
                </c:pt>
                <c:pt idx="12">
                  <c:v>10932200.950718142</c:v>
                </c:pt>
                <c:pt idx="13">
                  <c:v>16641343.171971476</c:v>
                </c:pt>
                <c:pt idx="14">
                  <c:v>16895841.117544807</c:v>
                </c:pt>
                <c:pt idx="15">
                  <c:v>18915839.770944808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12B8-4B18-985B-6638A4D55630}"/>
            </c:ext>
          </c:extLst>
        </c:ser>
        <c:ser>
          <c:idx val="11"/>
          <c:order val="11"/>
          <c:tx>
            <c:strRef>
              <c:f>MODELOfinal!$Z$1</c:f>
              <c:strCache>
                <c:ptCount val="1"/>
                <c:pt idx="0">
                  <c:v> PR12 </c:v>
                </c:pt>
              </c:strCache>
            </c:strRef>
          </c:tx>
          <c:spPr>
            <a:ln w="22225" cap="rnd" cmpd="sng" algn="ctr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MODELOfinal!$Z$2:$Z$17</c:f>
              <c:numCache>
                <c:formatCode>_-* #,##0_-;\-* #,##0_-;_-* "-"??_-;_-@_-</c:formatCode>
                <c:ptCount val="16"/>
                <c:pt idx="0">
                  <c:v>0</c:v>
                </c:pt>
                <c:pt idx="1">
                  <c:v>273523.71028361004</c:v>
                </c:pt>
                <c:pt idx="2">
                  <c:v>273523.71028361004</c:v>
                </c:pt>
                <c:pt idx="3">
                  <c:v>273523.71028361004</c:v>
                </c:pt>
                <c:pt idx="4">
                  <c:v>3718522.9476602767</c:v>
                </c:pt>
                <c:pt idx="5">
                  <c:v>9427665.1689136103</c:v>
                </c:pt>
                <c:pt idx="6">
                  <c:v>9427665.1689136103</c:v>
                </c:pt>
                <c:pt idx="7">
                  <c:v>9427665.1689136103</c:v>
                </c:pt>
                <c:pt idx="8">
                  <c:v>12447246.508513611</c:v>
                </c:pt>
                <c:pt idx="9">
                  <c:v>12614878.955375997</c:v>
                </c:pt>
                <c:pt idx="10">
                  <c:v>12825299.351954367</c:v>
                </c:pt>
                <c:pt idx="11">
                  <c:v>12825299.351954367</c:v>
                </c:pt>
                <c:pt idx="12">
                  <c:v>12992931.798816754</c:v>
                </c:pt>
                <c:pt idx="13">
                  <c:v>15012930.452216754</c:v>
                </c:pt>
                <c:pt idx="14">
                  <c:v>18511917.417946756</c:v>
                </c:pt>
                <c:pt idx="15">
                  <c:v>18661341.825371478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12B8-4B18-985B-6638A4D55630}"/>
            </c:ext>
          </c:extLst>
        </c:ser>
        <c:ser>
          <c:idx val="12"/>
          <c:order val="12"/>
          <c:tx>
            <c:strRef>
              <c:f>MODELOfinal!$AA$1</c:f>
              <c:strCache>
                <c:ptCount val="1"/>
                <c:pt idx="0">
                  <c:v> PR13 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MODELOfinal!$AA$2:$AA$17</c:f>
              <c:numCache>
                <c:formatCode>_-* #,##0_-;\-* #,##0_-;_-* "-"??_-;_-@_-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3444999.2373766666</c:v>
                </c:pt>
                <c:pt idx="3">
                  <c:v>3718522.9476602767</c:v>
                </c:pt>
                <c:pt idx="4">
                  <c:v>3718522.9476602767</c:v>
                </c:pt>
                <c:pt idx="5">
                  <c:v>3973020.8932336099</c:v>
                </c:pt>
                <c:pt idx="6">
                  <c:v>9682163.1144869439</c:v>
                </c:pt>
                <c:pt idx="7">
                  <c:v>9682163.1144869439</c:v>
                </c:pt>
                <c:pt idx="8">
                  <c:v>9849795.5613493305</c:v>
                </c:pt>
                <c:pt idx="9">
                  <c:v>9849795.5613493305</c:v>
                </c:pt>
                <c:pt idx="10">
                  <c:v>9849795.5613493305</c:v>
                </c:pt>
                <c:pt idx="11">
                  <c:v>11869794.214749331</c:v>
                </c:pt>
                <c:pt idx="12">
                  <c:v>12019218.622174054</c:v>
                </c:pt>
                <c:pt idx="13">
                  <c:v>15518205.587904055</c:v>
                </c:pt>
                <c:pt idx="14">
                  <c:v>18537786.927504055</c:v>
                </c:pt>
                <c:pt idx="15">
                  <c:v>18705419.37436644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12B8-4B18-985B-6638A4D55630}"/>
            </c:ext>
          </c:extLst>
        </c:ser>
        <c:ser>
          <c:idx val="13"/>
          <c:order val="13"/>
          <c:tx>
            <c:strRef>
              <c:f>MODELOfinal!$AB$1</c:f>
              <c:strCache>
                <c:ptCount val="1"/>
                <c:pt idx="0">
                  <c:v> PR14 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MODELOfinal!$AB$2:$AB$17</c:f>
              <c:numCache>
                <c:formatCode>_-* #,##0_-;\-* #,##0_-;_-* "-"??_-;_-@_-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210420.39657836914</c:v>
                </c:pt>
                <c:pt idx="4">
                  <c:v>5919562.6178317042</c:v>
                </c:pt>
                <c:pt idx="5">
                  <c:v>5919562.6178317042</c:v>
                </c:pt>
                <c:pt idx="6">
                  <c:v>9418549.5835617036</c:v>
                </c:pt>
                <c:pt idx="7">
                  <c:v>12863548.820938371</c:v>
                </c:pt>
                <c:pt idx="8">
                  <c:v>12863548.820938371</c:v>
                </c:pt>
                <c:pt idx="9">
                  <c:v>15883130.160538372</c:v>
                </c:pt>
                <c:pt idx="10">
                  <c:v>16032554.567963095</c:v>
                </c:pt>
                <c:pt idx="11">
                  <c:v>16200187.014825482</c:v>
                </c:pt>
                <c:pt idx="12">
                  <c:v>16200187.014825482</c:v>
                </c:pt>
                <c:pt idx="13">
                  <c:v>18220185.668225482</c:v>
                </c:pt>
                <c:pt idx="14">
                  <c:v>18493709.378509093</c:v>
                </c:pt>
                <c:pt idx="15">
                  <c:v>18661341.825371478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12B8-4B18-985B-6638A4D55630}"/>
            </c:ext>
          </c:extLst>
        </c:ser>
        <c:ser>
          <c:idx val="14"/>
          <c:order val="14"/>
          <c:tx>
            <c:strRef>
              <c:f>MODELOfinal!$AC$1</c:f>
              <c:strCache>
                <c:ptCount val="1"/>
                <c:pt idx="0">
                  <c:v> PR15 </c:v>
                </c:pt>
              </c:strCache>
            </c:strRef>
          </c:tx>
          <c:spPr>
            <a:ln w="22225" cap="rnd" cmpd="sng" algn="ctr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MODELOfinal!$AC$2:$AC$17</c:f>
              <c:numCache>
                <c:formatCode>_-* #,##0_-;\-* #,##0_-;_-* "-"??_-;_-@_-</c:formatCode>
                <c:ptCount val="16"/>
                <c:pt idx="0">
                  <c:v>0</c:v>
                </c:pt>
                <c:pt idx="1">
                  <c:v>210420.39657836914</c:v>
                </c:pt>
                <c:pt idx="2">
                  <c:v>3709407.3623083695</c:v>
                </c:pt>
                <c:pt idx="3">
                  <c:v>3858831.7697330927</c:v>
                </c:pt>
                <c:pt idx="4">
                  <c:v>4026464.2165954788</c:v>
                </c:pt>
                <c:pt idx="5">
                  <c:v>4026464.2165954788</c:v>
                </c:pt>
                <c:pt idx="6">
                  <c:v>6046462.8699954785</c:v>
                </c:pt>
                <c:pt idx="7">
                  <c:v>6046462.8699954785</c:v>
                </c:pt>
                <c:pt idx="8">
                  <c:v>11755605.091248812</c:v>
                </c:pt>
                <c:pt idx="9">
                  <c:v>11923237.538111199</c:v>
                </c:pt>
                <c:pt idx="10">
                  <c:v>11923237.538111199</c:v>
                </c:pt>
                <c:pt idx="11">
                  <c:v>12196761.24839481</c:v>
                </c:pt>
                <c:pt idx="12">
                  <c:v>12196761.24839481</c:v>
                </c:pt>
                <c:pt idx="13">
                  <c:v>15641760.485771477</c:v>
                </c:pt>
                <c:pt idx="14">
                  <c:v>15896258.431344811</c:v>
                </c:pt>
                <c:pt idx="15">
                  <c:v>18915839.770944811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12B8-4B18-985B-6638A4D55630}"/>
            </c:ext>
          </c:extLst>
        </c:ser>
        <c:ser>
          <c:idx val="15"/>
          <c:order val="15"/>
          <c:tx>
            <c:strRef>
              <c:f>MODELOfinal!$AD$1</c:f>
              <c:strCache>
                <c:ptCount val="1"/>
                <c:pt idx="0">
                  <c:v> PR16 </c:v>
                </c:pt>
              </c:strCache>
            </c:strRef>
          </c:tx>
          <c:spPr>
            <a:ln w="22225" cap="rnd" cmpd="sng" algn="ctr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MODELOfinal!$AD$2:$AD$17</c:f>
              <c:numCache>
                <c:formatCode>_-* #,##0_-;\-* #,##0_-;_-* "-"??_-;_-@_-</c:formatCode>
                <c:ptCount val="16"/>
                <c:pt idx="0">
                  <c:v>0</c:v>
                </c:pt>
                <c:pt idx="1">
                  <c:v>167632.44686238607</c:v>
                </c:pt>
                <c:pt idx="2">
                  <c:v>5876774.6681157202</c:v>
                </c:pt>
                <c:pt idx="3">
                  <c:v>7896773.3215157203</c:v>
                </c:pt>
                <c:pt idx="4">
                  <c:v>10916354.661115721</c:v>
                </c:pt>
                <c:pt idx="5">
                  <c:v>10916354.661115721</c:v>
                </c:pt>
                <c:pt idx="6">
                  <c:v>11170852.606689055</c:v>
                </c:pt>
                <c:pt idx="7">
                  <c:v>11170852.606689055</c:v>
                </c:pt>
                <c:pt idx="8">
                  <c:v>11338485.053551441</c:v>
                </c:pt>
                <c:pt idx="9">
                  <c:v>14837472.019281441</c:v>
                </c:pt>
                <c:pt idx="10">
                  <c:v>15047892.415859811</c:v>
                </c:pt>
                <c:pt idx="11">
                  <c:v>18492891.653236479</c:v>
                </c:pt>
                <c:pt idx="12">
                  <c:v>18766415.36352009</c:v>
                </c:pt>
                <c:pt idx="13">
                  <c:v>18766415.36352009</c:v>
                </c:pt>
                <c:pt idx="14">
                  <c:v>18766415.36352009</c:v>
                </c:pt>
                <c:pt idx="15">
                  <c:v>18915839.770944811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12B8-4B18-985B-6638A4D55630}"/>
            </c:ext>
          </c:extLst>
        </c:ser>
        <c:ser>
          <c:idx val="16"/>
          <c:order val="16"/>
          <c:tx>
            <c:strRef>
              <c:f>MODELOfinal!$AE$1</c:f>
              <c:strCache>
                <c:ptCount val="1"/>
                <c:pt idx="0">
                  <c:v> PR17 </c:v>
                </c:pt>
              </c:strCache>
            </c:strRef>
          </c:tx>
          <c:spPr>
            <a:ln w="22225" cap="rnd" cmpd="sng" algn="ctr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MODELOfinal!$AE$2:$AE$17</c:f>
              <c:numCache>
                <c:formatCode>_-* #,##0_-;\-* #,##0_-;_-* "-"??_-;_-@_-</c:formatCode>
                <c:ptCount val="16"/>
                <c:pt idx="0">
                  <c:v>0</c:v>
                </c:pt>
                <c:pt idx="1">
                  <c:v>5709142.2212533336</c:v>
                </c:pt>
                <c:pt idx="2">
                  <c:v>9208129.1869833339</c:v>
                </c:pt>
                <c:pt idx="3">
                  <c:v>9357553.5944080576</c:v>
                </c:pt>
                <c:pt idx="4">
                  <c:v>9357553.5944080576</c:v>
                </c:pt>
                <c:pt idx="5">
                  <c:v>12802552.831784725</c:v>
                </c:pt>
                <c:pt idx="6">
                  <c:v>13076076.542068336</c:v>
                </c:pt>
                <c:pt idx="7">
                  <c:v>13243708.988930723</c:v>
                </c:pt>
                <c:pt idx="8">
                  <c:v>15263707.642330723</c:v>
                </c:pt>
                <c:pt idx="9">
                  <c:v>15431340.089193109</c:v>
                </c:pt>
                <c:pt idx="10">
                  <c:v>15685838.034766443</c:v>
                </c:pt>
                <c:pt idx="11">
                  <c:v>18705419.374366444</c:v>
                </c:pt>
                <c:pt idx="12">
                  <c:v>18705419.374366444</c:v>
                </c:pt>
                <c:pt idx="13">
                  <c:v>18705419.374366444</c:v>
                </c:pt>
                <c:pt idx="14">
                  <c:v>18915839.770944811</c:v>
                </c:pt>
                <c:pt idx="15">
                  <c:v>18915839.770944811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12B8-4B18-985B-6638A4D55630}"/>
            </c:ext>
          </c:extLst>
        </c:ser>
        <c:ser>
          <c:idx val="17"/>
          <c:order val="17"/>
          <c:tx>
            <c:strRef>
              <c:f>MODELOfinal!$AF$1</c:f>
              <c:strCache>
                <c:ptCount val="1"/>
                <c:pt idx="0">
                  <c:v> PR18 </c:v>
                </c:pt>
              </c:strCache>
            </c:strRef>
          </c:tx>
          <c:spPr>
            <a:ln w="22225" cap="rnd" cmpd="sng" algn="ctr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MODELOfinal!$AF$2:$AF$17</c:f>
              <c:numCache>
                <c:formatCode>_-* #,##0_-;\-* #,##0_-;_-* "-"??_-;_-@_-</c:formatCode>
                <c:ptCount val="16"/>
                <c:pt idx="0">
                  <c:v>0</c:v>
                </c:pt>
                <c:pt idx="1">
                  <c:v>167632.44686238607</c:v>
                </c:pt>
                <c:pt idx="2">
                  <c:v>167632.44686238607</c:v>
                </c:pt>
                <c:pt idx="3">
                  <c:v>2187631.1002623858</c:v>
                </c:pt>
                <c:pt idx="4">
                  <c:v>2337055.5076871091</c:v>
                </c:pt>
                <c:pt idx="5">
                  <c:v>2337055.5076871091</c:v>
                </c:pt>
                <c:pt idx="6">
                  <c:v>5356636.8472871091</c:v>
                </c:pt>
                <c:pt idx="7">
                  <c:v>5356636.8472871091</c:v>
                </c:pt>
                <c:pt idx="8">
                  <c:v>5524269.2941494957</c:v>
                </c:pt>
                <c:pt idx="9">
                  <c:v>11233411.515402829</c:v>
                </c:pt>
                <c:pt idx="10">
                  <c:v>14732398.48113283</c:v>
                </c:pt>
                <c:pt idx="11">
                  <c:v>15005922.191416439</c:v>
                </c:pt>
                <c:pt idx="12">
                  <c:v>15005922.191416439</c:v>
                </c:pt>
                <c:pt idx="13">
                  <c:v>18450921.428793106</c:v>
                </c:pt>
                <c:pt idx="14">
                  <c:v>18661341.825371474</c:v>
                </c:pt>
                <c:pt idx="15">
                  <c:v>18915839.770944808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12B8-4B18-985B-6638A4D55630}"/>
            </c:ext>
          </c:extLst>
        </c:ser>
        <c:ser>
          <c:idx val="18"/>
          <c:order val="18"/>
          <c:tx>
            <c:strRef>
              <c:f>MODELOfinal!$AG$1</c:f>
              <c:strCache>
                <c:ptCount val="1"/>
                <c:pt idx="0">
                  <c:v> PR19 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MODELOfinal!$AG$2:$AG$17</c:f>
              <c:numCache>
                <c:formatCode>_-* #,##0_-;\-* #,##0_-;_-* "-"??_-;_-@_-</c:formatCode>
                <c:ptCount val="16"/>
                <c:pt idx="0">
                  <c:v>0</c:v>
                </c:pt>
                <c:pt idx="1">
                  <c:v>167632.44686238607</c:v>
                </c:pt>
                <c:pt idx="2">
                  <c:v>167632.44686238607</c:v>
                </c:pt>
                <c:pt idx="3">
                  <c:v>5876774.668115722</c:v>
                </c:pt>
                <c:pt idx="4">
                  <c:v>7896773.3215157222</c:v>
                </c:pt>
                <c:pt idx="5">
                  <c:v>11395760.287245722</c:v>
                </c:pt>
                <c:pt idx="6">
                  <c:v>11395760.287245722</c:v>
                </c:pt>
                <c:pt idx="7">
                  <c:v>11395760.287245722</c:v>
                </c:pt>
                <c:pt idx="8">
                  <c:v>11650258.232819056</c:v>
                </c:pt>
                <c:pt idx="9">
                  <c:v>14669839.572419057</c:v>
                </c:pt>
                <c:pt idx="10">
                  <c:v>14819263.97984378</c:v>
                </c:pt>
                <c:pt idx="11">
                  <c:v>15029684.37642215</c:v>
                </c:pt>
                <c:pt idx="12">
                  <c:v>15197316.823284537</c:v>
                </c:pt>
                <c:pt idx="13">
                  <c:v>15197316.823284537</c:v>
                </c:pt>
                <c:pt idx="14">
                  <c:v>15470840.533568148</c:v>
                </c:pt>
                <c:pt idx="15">
                  <c:v>18915839.770944815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12B8-4B18-985B-6638A4D55630}"/>
            </c:ext>
          </c:extLst>
        </c:ser>
        <c:ser>
          <c:idx val="19"/>
          <c:order val="19"/>
          <c:tx>
            <c:strRef>
              <c:f>MODELOfinal!$AH$1</c:f>
              <c:strCache>
                <c:ptCount val="1"/>
                <c:pt idx="0">
                  <c:v> PR20 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MODELOfinal!$AH$2:$AH$17</c:f>
              <c:numCache>
                <c:formatCode>_-* #,##0_-;\-* #,##0_-;_-* "-"??_-;_-@_-</c:formatCode>
                <c:ptCount val="16"/>
                <c:pt idx="0">
                  <c:v>0</c:v>
                </c:pt>
                <c:pt idx="1">
                  <c:v>167632.44686238607</c:v>
                </c:pt>
                <c:pt idx="2">
                  <c:v>3612631.6842390527</c:v>
                </c:pt>
                <c:pt idx="3">
                  <c:v>3867129.6298123864</c:v>
                </c:pt>
                <c:pt idx="4">
                  <c:v>6886710.9694123864</c:v>
                </c:pt>
                <c:pt idx="5">
                  <c:v>6886710.9694123864</c:v>
                </c:pt>
                <c:pt idx="6">
                  <c:v>7036135.3768371101</c:v>
                </c:pt>
                <c:pt idx="7">
                  <c:v>12745277.598090444</c:v>
                </c:pt>
                <c:pt idx="8">
                  <c:v>14765276.251490444</c:v>
                </c:pt>
                <c:pt idx="9">
                  <c:v>15038799.961774055</c:v>
                </c:pt>
                <c:pt idx="10">
                  <c:v>15038799.961774055</c:v>
                </c:pt>
                <c:pt idx="11">
                  <c:v>15249220.358352425</c:v>
                </c:pt>
                <c:pt idx="12">
                  <c:v>15249220.358352425</c:v>
                </c:pt>
                <c:pt idx="13">
                  <c:v>15249220.358352425</c:v>
                </c:pt>
                <c:pt idx="14">
                  <c:v>18748207.324082427</c:v>
                </c:pt>
                <c:pt idx="15">
                  <c:v>18915839.770944811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12B8-4B18-985B-6638A4D55630}"/>
            </c:ext>
          </c:extLst>
        </c:ser>
        <c:ser>
          <c:idx val="20"/>
          <c:order val="20"/>
          <c:tx>
            <c:strRef>
              <c:f>MODELOfinal!$AI$1</c:f>
              <c:strCache>
                <c:ptCount val="1"/>
                <c:pt idx="0">
                  <c:v> PR21 </c:v>
                </c:pt>
              </c:strCache>
            </c:strRef>
          </c:tx>
          <c:spPr>
            <a:ln w="22225" cap="rnd" cmpd="sng" algn="ctr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MODELOfinal!$AI$2:$AI$17</c:f>
              <c:numCache>
                <c:formatCode>_-* #,##0_-;\-* #,##0_-;_-* "-"??_-;_-@_-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210420.39657836914</c:v>
                </c:pt>
                <c:pt idx="5">
                  <c:v>210420.39657836914</c:v>
                </c:pt>
                <c:pt idx="6">
                  <c:v>3709407.3623083695</c:v>
                </c:pt>
                <c:pt idx="7">
                  <c:v>3963905.3078817027</c:v>
                </c:pt>
                <c:pt idx="8">
                  <c:v>3963905.3078817027</c:v>
                </c:pt>
                <c:pt idx="9">
                  <c:v>4237429.0181653127</c:v>
                </c:pt>
                <c:pt idx="10">
                  <c:v>4405061.4650276992</c:v>
                </c:pt>
                <c:pt idx="11">
                  <c:v>4572693.9118900858</c:v>
                </c:pt>
                <c:pt idx="12">
                  <c:v>10281836.133143419</c:v>
                </c:pt>
                <c:pt idx="13">
                  <c:v>10431260.540568143</c:v>
                </c:pt>
                <c:pt idx="14">
                  <c:v>13450841.880168144</c:v>
                </c:pt>
                <c:pt idx="15">
                  <c:v>15470840.533568144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12B8-4B18-985B-6638A4D55630}"/>
            </c:ext>
          </c:extLst>
        </c:ser>
        <c:ser>
          <c:idx val="21"/>
          <c:order val="21"/>
          <c:tx>
            <c:strRef>
              <c:f>MODELOfinal!$AJ$1</c:f>
              <c:strCache>
                <c:ptCount val="1"/>
                <c:pt idx="0">
                  <c:v> PR22 </c:v>
                </c:pt>
              </c:strCache>
            </c:strRef>
          </c:tx>
          <c:spPr>
            <a:ln w="22225" cap="rnd" cmpd="sng" algn="ctr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MODELOfinal!$AJ$2:$AJ$17</c:f>
              <c:numCache>
                <c:formatCode>_-* #,##0_-;\-* #,##0_-;_-* "-"??_-;_-@_-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273523.71028361039</c:v>
                </c:pt>
                <c:pt idx="4">
                  <c:v>273523.71028361039</c:v>
                </c:pt>
                <c:pt idx="5">
                  <c:v>441156.15714599646</c:v>
                </c:pt>
                <c:pt idx="6">
                  <c:v>6150298.3783993302</c:v>
                </c:pt>
                <c:pt idx="7">
                  <c:v>8170297.0317993304</c:v>
                </c:pt>
                <c:pt idx="8">
                  <c:v>11189878.37139933</c:v>
                </c:pt>
                <c:pt idx="9">
                  <c:v>11400298.7679777</c:v>
                </c:pt>
                <c:pt idx="10">
                  <c:v>11567931.214840086</c:v>
                </c:pt>
                <c:pt idx="11">
                  <c:v>15012930.452216752</c:v>
                </c:pt>
                <c:pt idx="12">
                  <c:v>15267428.397790086</c:v>
                </c:pt>
                <c:pt idx="13">
                  <c:v>15416852.805214809</c:v>
                </c:pt>
                <c:pt idx="14">
                  <c:v>15416852.805214809</c:v>
                </c:pt>
                <c:pt idx="15">
                  <c:v>15416852.805214809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12B8-4B18-985B-6638A4D55630}"/>
            </c:ext>
          </c:extLst>
        </c:ser>
        <c:ser>
          <c:idx val="22"/>
          <c:order val="22"/>
          <c:tx>
            <c:strRef>
              <c:f>MODELOfinal!$AK$1</c:f>
              <c:strCache>
                <c:ptCount val="1"/>
                <c:pt idx="0">
                  <c:v> PR23 </c:v>
                </c:pt>
              </c:strCache>
            </c:strRef>
          </c:tx>
          <c:spPr>
            <a:ln w="22225" cap="rnd" cmpd="sng" algn="ctr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MODELOfinal!$AK$2:$AK$17</c:f>
              <c:numCache>
                <c:formatCode>_-* #,##0_-;\-* #,##0_-;_-* "-"??_-;_-@_-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149424.40742472332</c:v>
                </c:pt>
                <c:pt idx="3">
                  <c:v>5858566.6286780573</c:v>
                </c:pt>
                <c:pt idx="4">
                  <c:v>6068987.0252564261</c:v>
                </c:pt>
                <c:pt idx="5">
                  <c:v>8088985.6786564263</c:v>
                </c:pt>
                <c:pt idx="6">
                  <c:v>8362509.3889400363</c:v>
                </c:pt>
                <c:pt idx="7">
                  <c:v>8362509.3889400363</c:v>
                </c:pt>
                <c:pt idx="8">
                  <c:v>11861496.354670037</c:v>
                </c:pt>
                <c:pt idx="9">
                  <c:v>12115994.30024337</c:v>
                </c:pt>
                <c:pt idx="10">
                  <c:v>15135575.639843371</c:v>
                </c:pt>
                <c:pt idx="11">
                  <c:v>15135575.639843371</c:v>
                </c:pt>
                <c:pt idx="12">
                  <c:v>15135575.639843371</c:v>
                </c:pt>
                <c:pt idx="13">
                  <c:v>15135575.639843371</c:v>
                </c:pt>
                <c:pt idx="14">
                  <c:v>15303208.086705757</c:v>
                </c:pt>
                <c:pt idx="15">
                  <c:v>18748207.324082423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12B8-4B18-985B-6638A4D55630}"/>
            </c:ext>
          </c:extLst>
        </c:ser>
        <c:ser>
          <c:idx val="23"/>
          <c:order val="23"/>
          <c:tx>
            <c:strRef>
              <c:f>MODELOfinal!$AL$1</c:f>
              <c:strCache>
                <c:ptCount val="1"/>
                <c:pt idx="0">
                  <c:v> PR24 </c:v>
                </c:pt>
              </c:strCache>
            </c:strRef>
          </c:tx>
          <c:spPr>
            <a:ln w="22225" cap="rnd" cmpd="sng" algn="ctr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MODELOfinal!$AL$2:$AL$17</c:f>
              <c:numCache>
                <c:formatCode>_-* #,##0_-;\-* #,##0_-;_-* "-"??_-;_-@_-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2019998.6534</c:v>
                </c:pt>
                <c:pt idx="3">
                  <c:v>2019998.6534</c:v>
                </c:pt>
                <c:pt idx="4">
                  <c:v>5518985.6191300005</c:v>
                </c:pt>
                <c:pt idx="5">
                  <c:v>5668410.0265547242</c:v>
                </c:pt>
                <c:pt idx="6">
                  <c:v>9113409.2639313899</c:v>
                </c:pt>
                <c:pt idx="7">
                  <c:v>9113409.2639313899</c:v>
                </c:pt>
                <c:pt idx="8">
                  <c:v>14822551.485184724</c:v>
                </c:pt>
                <c:pt idx="9">
                  <c:v>14822551.485184724</c:v>
                </c:pt>
                <c:pt idx="10">
                  <c:v>15077049.430758057</c:v>
                </c:pt>
                <c:pt idx="11">
                  <c:v>18096630.770358056</c:v>
                </c:pt>
                <c:pt idx="12">
                  <c:v>18307051.166936424</c:v>
                </c:pt>
                <c:pt idx="13">
                  <c:v>18474683.613798808</c:v>
                </c:pt>
                <c:pt idx="14">
                  <c:v>18474683.613798808</c:v>
                </c:pt>
                <c:pt idx="15">
                  <c:v>18642316.060661193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12B8-4B18-985B-6638A4D55630}"/>
            </c:ext>
          </c:extLst>
        </c:ser>
        <c:ser>
          <c:idx val="24"/>
          <c:order val="24"/>
          <c:tx>
            <c:strRef>
              <c:f>MODELOfinal!$AM$1</c:f>
              <c:strCache>
                <c:ptCount val="1"/>
                <c:pt idx="0">
                  <c:v> PR25 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MODELOfinal!$AM$2:$AM$17</c:f>
              <c:numCache>
                <c:formatCode>_-* #,##0_-;\-* #,##0_-;_-* "-"??_-;_-@_-</c:formatCode>
                <c:ptCount val="16"/>
                <c:pt idx="0">
                  <c:v>0</c:v>
                </c:pt>
                <c:pt idx="1">
                  <c:v>167632.44686238607</c:v>
                </c:pt>
                <c:pt idx="2">
                  <c:v>167632.44686238607</c:v>
                </c:pt>
                <c:pt idx="3">
                  <c:v>5876774.6681157202</c:v>
                </c:pt>
                <c:pt idx="4">
                  <c:v>6044407.1149781067</c:v>
                </c:pt>
                <c:pt idx="5">
                  <c:v>6193831.5224028304</c:v>
                </c:pt>
                <c:pt idx="6">
                  <c:v>6404251.9189811992</c:v>
                </c:pt>
                <c:pt idx="7">
                  <c:v>6404251.9189811992</c:v>
                </c:pt>
                <c:pt idx="8">
                  <c:v>9903238.8847111985</c:v>
                </c:pt>
                <c:pt idx="9">
                  <c:v>10157736.830284532</c:v>
                </c:pt>
                <c:pt idx="10">
                  <c:v>10157736.830284532</c:v>
                </c:pt>
                <c:pt idx="11">
                  <c:v>13177318.169884533</c:v>
                </c:pt>
                <c:pt idx="12">
                  <c:v>15197316.823284533</c:v>
                </c:pt>
                <c:pt idx="13">
                  <c:v>15197316.823284533</c:v>
                </c:pt>
                <c:pt idx="14">
                  <c:v>15197316.823284533</c:v>
                </c:pt>
                <c:pt idx="15">
                  <c:v>15470840.533568144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12B8-4B18-985B-6638A4D55630}"/>
            </c:ext>
          </c:extLst>
        </c:ser>
        <c:ser>
          <c:idx val="25"/>
          <c:order val="25"/>
          <c:tx>
            <c:strRef>
              <c:f>MODELOfinal!$AN$1</c:f>
              <c:strCache>
                <c:ptCount val="1"/>
                <c:pt idx="0">
                  <c:v> PR26 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MODELOfinal!$AN$2:$AN$17</c:f>
              <c:numCache>
                <c:formatCode>_-* #,##0_-;\-* #,##0_-;_-* "-"??_-;_-@_-</c:formatCode>
                <c:ptCount val="16"/>
                <c:pt idx="0">
                  <c:v>0</c:v>
                </c:pt>
                <c:pt idx="1">
                  <c:v>5709142.2212533336</c:v>
                </c:pt>
                <c:pt idx="2">
                  <c:v>5876774.6681157202</c:v>
                </c:pt>
                <c:pt idx="3">
                  <c:v>8896356.0077157207</c:v>
                </c:pt>
                <c:pt idx="4">
                  <c:v>10916354.661115721</c:v>
                </c:pt>
                <c:pt idx="5">
                  <c:v>14415341.626845721</c:v>
                </c:pt>
                <c:pt idx="6">
                  <c:v>14582974.073708108</c:v>
                </c:pt>
                <c:pt idx="7">
                  <c:v>14582974.073708108</c:v>
                </c:pt>
                <c:pt idx="8">
                  <c:v>14582974.073708108</c:v>
                </c:pt>
                <c:pt idx="9">
                  <c:v>14582974.073708108</c:v>
                </c:pt>
                <c:pt idx="10">
                  <c:v>14732398.481132831</c:v>
                </c:pt>
                <c:pt idx="11">
                  <c:v>14732398.481132831</c:v>
                </c:pt>
                <c:pt idx="12">
                  <c:v>14986896.426706165</c:v>
                </c:pt>
                <c:pt idx="13">
                  <c:v>14986896.426706165</c:v>
                </c:pt>
                <c:pt idx="14">
                  <c:v>15260420.136989776</c:v>
                </c:pt>
                <c:pt idx="15">
                  <c:v>18705419.374366444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12B8-4B18-985B-6638A4D55630}"/>
            </c:ext>
          </c:extLst>
        </c:ser>
        <c:ser>
          <c:idx val="26"/>
          <c:order val="26"/>
          <c:tx>
            <c:strRef>
              <c:f>MODELOfinal!$AO$1</c:f>
              <c:strCache>
                <c:ptCount val="1"/>
                <c:pt idx="0">
                  <c:v> PR27 </c:v>
                </c:pt>
              </c:strCache>
            </c:strRef>
          </c:tx>
          <c:spPr>
            <a:ln w="22225" cap="rnd" cmpd="sng" algn="ctr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MODELOfinal!$AO$2:$AO$17</c:f>
              <c:numCache>
                <c:formatCode>_-* #,##0_-;\-* #,##0_-;_-* "-"??_-;_-@_-</c:formatCode>
                <c:ptCount val="16"/>
                <c:pt idx="0">
                  <c:v>0</c:v>
                </c:pt>
                <c:pt idx="1">
                  <c:v>2019998.6534</c:v>
                </c:pt>
                <c:pt idx="2">
                  <c:v>5039579.9929999998</c:v>
                </c:pt>
                <c:pt idx="3">
                  <c:v>5207212.4398623854</c:v>
                </c:pt>
                <c:pt idx="4">
                  <c:v>5356636.8472871091</c:v>
                </c:pt>
                <c:pt idx="5">
                  <c:v>5356636.8472871091</c:v>
                </c:pt>
                <c:pt idx="6">
                  <c:v>5356636.8472871091</c:v>
                </c:pt>
                <c:pt idx="7">
                  <c:v>5611134.7928604428</c:v>
                </c:pt>
                <c:pt idx="8">
                  <c:v>5884658.5031440528</c:v>
                </c:pt>
                <c:pt idx="9">
                  <c:v>9329657.7405207194</c:v>
                </c:pt>
                <c:pt idx="10">
                  <c:v>9540078.1370990891</c:v>
                </c:pt>
                <c:pt idx="11">
                  <c:v>9540078.1370990891</c:v>
                </c:pt>
                <c:pt idx="12">
                  <c:v>15249220.358352423</c:v>
                </c:pt>
                <c:pt idx="13">
                  <c:v>15416852.805214809</c:v>
                </c:pt>
                <c:pt idx="14">
                  <c:v>15416852.805214809</c:v>
                </c:pt>
                <c:pt idx="15">
                  <c:v>15416852.805214809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12B8-4B18-985B-6638A4D55630}"/>
            </c:ext>
          </c:extLst>
        </c:ser>
        <c:ser>
          <c:idx val="27"/>
          <c:order val="27"/>
          <c:tx>
            <c:strRef>
              <c:f>MODELOfinal!$AP$1</c:f>
              <c:strCache>
                <c:ptCount val="1"/>
                <c:pt idx="0">
                  <c:v> PR28 </c:v>
                </c:pt>
              </c:strCache>
            </c:strRef>
          </c:tx>
          <c:spPr>
            <a:ln w="22225" cap="rnd" cmpd="sng" algn="ctr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MODELOfinal!$AP$2:$AP$17</c:f>
              <c:numCache>
                <c:formatCode>_-* #,##0_-;\-* #,##0_-;_-* "-"??_-;_-@_-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3444999.2373766666</c:v>
                </c:pt>
                <c:pt idx="3">
                  <c:v>3444999.2373766666</c:v>
                </c:pt>
                <c:pt idx="4">
                  <c:v>5464997.8907766668</c:v>
                </c:pt>
                <c:pt idx="5">
                  <c:v>5464997.8907766668</c:v>
                </c:pt>
                <c:pt idx="6">
                  <c:v>8963984.856506668</c:v>
                </c:pt>
                <c:pt idx="7">
                  <c:v>14673127.077760002</c:v>
                </c:pt>
                <c:pt idx="8">
                  <c:v>14673127.077760002</c:v>
                </c:pt>
                <c:pt idx="9">
                  <c:v>14946650.788043611</c:v>
                </c:pt>
                <c:pt idx="10">
                  <c:v>15201148.733616944</c:v>
                </c:pt>
                <c:pt idx="11">
                  <c:v>15368781.180479331</c:v>
                </c:pt>
                <c:pt idx="12">
                  <c:v>15368781.180479331</c:v>
                </c:pt>
                <c:pt idx="13">
                  <c:v>15579201.577057701</c:v>
                </c:pt>
                <c:pt idx="14">
                  <c:v>15746834.023920087</c:v>
                </c:pt>
                <c:pt idx="15">
                  <c:v>18766415.363520086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2B8-4B18-985B-6638A4D55630}"/>
            </c:ext>
          </c:extLst>
        </c:ser>
        <c:ser>
          <c:idx val="28"/>
          <c:order val="28"/>
          <c:tx>
            <c:strRef>
              <c:f>MODELOfinal!$AQ$1</c:f>
              <c:strCache>
                <c:ptCount val="1"/>
                <c:pt idx="0">
                  <c:v> PR29 </c:v>
                </c:pt>
              </c:strCache>
            </c:strRef>
          </c:tx>
          <c:spPr>
            <a:ln w="22225" cap="rnd" cmpd="sng" algn="ctr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MODELOfinal!$AQ$2:$AQ$17</c:f>
              <c:numCache>
                <c:formatCode>_-* #,##0_-;\-* #,##0_-;_-* "-"??_-;_-@_-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2019998.6534</c:v>
                </c:pt>
                <c:pt idx="3">
                  <c:v>2169423.0608247234</c:v>
                </c:pt>
                <c:pt idx="4">
                  <c:v>2337055.5076871095</c:v>
                </c:pt>
                <c:pt idx="5">
                  <c:v>2337055.5076871095</c:v>
                </c:pt>
                <c:pt idx="6">
                  <c:v>8046197.7289404431</c:v>
                </c:pt>
                <c:pt idx="7">
                  <c:v>8300695.6745137768</c:v>
                </c:pt>
                <c:pt idx="8">
                  <c:v>8300695.6745137768</c:v>
                </c:pt>
                <c:pt idx="9">
                  <c:v>8468328.1213761624</c:v>
                </c:pt>
                <c:pt idx="10">
                  <c:v>11913327.358752828</c:v>
                </c:pt>
                <c:pt idx="11">
                  <c:v>11913327.358752828</c:v>
                </c:pt>
                <c:pt idx="12">
                  <c:v>12123747.755331198</c:v>
                </c:pt>
                <c:pt idx="13">
                  <c:v>12397271.465614807</c:v>
                </c:pt>
                <c:pt idx="14">
                  <c:v>12397271.465614807</c:v>
                </c:pt>
                <c:pt idx="15">
                  <c:v>15896258.431344807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12B8-4B18-985B-6638A4D55630}"/>
            </c:ext>
          </c:extLst>
        </c:ser>
        <c:ser>
          <c:idx val="29"/>
          <c:order val="29"/>
          <c:tx>
            <c:strRef>
              <c:f>MODELOfinal!$AR$1</c:f>
              <c:strCache>
                <c:ptCount val="1"/>
                <c:pt idx="0">
                  <c:v> PR30 </c:v>
                </c:pt>
              </c:strCache>
            </c:strRef>
          </c:tx>
          <c:spPr>
            <a:ln w="22225" cap="rnd" cmpd="sng" algn="ctr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MODELOfinal!$AR$2:$AR$17</c:f>
              <c:numCache>
                <c:formatCode>_-* #,##0_-;\-* #,##0_-;_-* "-"??_-;_-@_-</c:formatCode>
                <c:ptCount val="16"/>
                <c:pt idx="0">
                  <c:v>0</c:v>
                </c:pt>
                <c:pt idx="1">
                  <c:v>3444999.2373766666</c:v>
                </c:pt>
                <c:pt idx="2">
                  <c:v>3444999.2373766666</c:v>
                </c:pt>
                <c:pt idx="3">
                  <c:v>5464997.8907766677</c:v>
                </c:pt>
                <c:pt idx="4">
                  <c:v>5719495.8363500014</c:v>
                </c:pt>
                <c:pt idx="5">
                  <c:v>5719495.8363500014</c:v>
                </c:pt>
                <c:pt idx="6">
                  <c:v>5719495.8363500014</c:v>
                </c:pt>
                <c:pt idx="7">
                  <c:v>5887128.2832123879</c:v>
                </c:pt>
                <c:pt idx="8">
                  <c:v>5887128.2832123879</c:v>
                </c:pt>
                <c:pt idx="9">
                  <c:v>8906709.6228123885</c:v>
                </c:pt>
                <c:pt idx="10">
                  <c:v>14615851.844065722</c:v>
                </c:pt>
                <c:pt idx="11">
                  <c:v>14889375.554349333</c:v>
                </c:pt>
                <c:pt idx="12">
                  <c:v>15038799.961774057</c:v>
                </c:pt>
                <c:pt idx="13">
                  <c:v>18537786.927504055</c:v>
                </c:pt>
                <c:pt idx="14">
                  <c:v>18748207.324082423</c:v>
                </c:pt>
                <c:pt idx="15">
                  <c:v>18915839.770944808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12B8-4B18-985B-6638A4D55630}"/>
            </c:ext>
          </c:extLst>
        </c:ser>
        <c:ser>
          <c:idx val="30"/>
          <c:order val="30"/>
          <c:tx>
            <c:strRef>
              <c:f>MODELOfinal!$AS$1</c:f>
              <c:strCache>
                <c:ptCount val="1"/>
                <c:pt idx="0">
                  <c:v> PR31 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MODELOfinal!$AS$2:$AS$17</c:f>
              <c:numCache>
                <c:formatCode>_-* #,##0_-;\-* #,##0_-;_-* "-"??_-;_-@_-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167632.44686238607</c:v>
                </c:pt>
                <c:pt idx="3">
                  <c:v>422130.39243571961</c:v>
                </c:pt>
                <c:pt idx="4">
                  <c:v>3867129.6298123864</c:v>
                </c:pt>
                <c:pt idx="5">
                  <c:v>3867129.6298123864</c:v>
                </c:pt>
                <c:pt idx="6">
                  <c:v>4140653.3400959964</c:v>
                </c:pt>
                <c:pt idx="7">
                  <c:v>7639640.3058259971</c:v>
                </c:pt>
                <c:pt idx="8">
                  <c:v>13348782.527079331</c:v>
                </c:pt>
                <c:pt idx="9">
                  <c:v>13348782.527079331</c:v>
                </c:pt>
                <c:pt idx="10">
                  <c:v>13516414.973941717</c:v>
                </c:pt>
                <c:pt idx="11">
                  <c:v>16535996.313541718</c:v>
                </c:pt>
                <c:pt idx="12">
                  <c:v>16685420.720966442</c:v>
                </c:pt>
                <c:pt idx="13">
                  <c:v>18705419.37436644</c:v>
                </c:pt>
                <c:pt idx="14">
                  <c:v>18915839.770944808</c:v>
                </c:pt>
                <c:pt idx="15">
                  <c:v>18915839.770944808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12B8-4B18-985B-6638A4D55630}"/>
            </c:ext>
          </c:extLst>
        </c:ser>
        <c:ser>
          <c:idx val="31"/>
          <c:order val="31"/>
          <c:tx>
            <c:strRef>
              <c:f>MODELOfinal!$AT$1</c:f>
              <c:strCache>
                <c:ptCount val="1"/>
                <c:pt idx="0">
                  <c:v> PR32 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MODELOfinal!$AT$2:$AT$17</c:f>
              <c:numCache>
                <c:formatCode>_-* #,##0_-;\-* #,##0_-;_-* "-"??_-;_-@_-</c:formatCode>
                <c:ptCount val="16"/>
                <c:pt idx="0">
                  <c:v>0</c:v>
                </c:pt>
                <c:pt idx="1">
                  <c:v>3444999.2373766666</c:v>
                </c:pt>
                <c:pt idx="2">
                  <c:v>3718522.9476602767</c:v>
                </c:pt>
                <c:pt idx="3">
                  <c:v>3718522.9476602767</c:v>
                </c:pt>
                <c:pt idx="4">
                  <c:v>3928943.3442386459</c:v>
                </c:pt>
                <c:pt idx="5">
                  <c:v>4183441.289811979</c:v>
                </c:pt>
                <c:pt idx="6">
                  <c:v>6203439.9432119792</c:v>
                </c:pt>
                <c:pt idx="7">
                  <c:v>9702426.9089419805</c:v>
                </c:pt>
                <c:pt idx="8">
                  <c:v>9870059.355804367</c:v>
                </c:pt>
                <c:pt idx="9">
                  <c:v>15579201.577057701</c:v>
                </c:pt>
                <c:pt idx="10">
                  <c:v>15579201.577057701</c:v>
                </c:pt>
                <c:pt idx="11">
                  <c:v>15579201.577057701</c:v>
                </c:pt>
                <c:pt idx="12">
                  <c:v>15728625.984482424</c:v>
                </c:pt>
                <c:pt idx="13">
                  <c:v>15728625.984482424</c:v>
                </c:pt>
                <c:pt idx="14">
                  <c:v>15728625.984482424</c:v>
                </c:pt>
                <c:pt idx="15">
                  <c:v>15896258.431344811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12B8-4B18-985B-6638A4D55630}"/>
            </c:ext>
          </c:extLst>
        </c:ser>
        <c:ser>
          <c:idx val="32"/>
          <c:order val="32"/>
          <c:tx>
            <c:strRef>
              <c:f>MODELOfinal!$AU$1</c:f>
              <c:strCache>
                <c:ptCount val="1"/>
                <c:pt idx="0">
                  <c:v> PR33 </c:v>
                </c:pt>
              </c:strCache>
            </c:strRef>
          </c:tx>
          <c:spPr>
            <a:ln w="22225" cap="rnd" cmpd="sng" algn="ctr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MODELOfinal!$AU$2:$AU$17</c:f>
              <c:numCache>
                <c:formatCode>_-* #,##0_-;\-* #,##0_-;_-* "-"??_-;_-@_-</c:formatCode>
                <c:ptCount val="16"/>
                <c:pt idx="0">
                  <c:v>0</c:v>
                </c:pt>
                <c:pt idx="1">
                  <c:v>3498986.9657300003</c:v>
                </c:pt>
                <c:pt idx="2">
                  <c:v>3498986.9657300003</c:v>
                </c:pt>
                <c:pt idx="3">
                  <c:v>3498986.9657300003</c:v>
                </c:pt>
                <c:pt idx="4">
                  <c:v>3772510.6760136103</c:v>
                </c:pt>
                <c:pt idx="5">
                  <c:v>4027008.6215869435</c:v>
                </c:pt>
                <c:pt idx="6">
                  <c:v>4176433.0290116668</c:v>
                </c:pt>
                <c:pt idx="7">
                  <c:v>4344065.4758740533</c:v>
                </c:pt>
                <c:pt idx="8">
                  <c:v>10053207.697127387</c:v>
                </c:pt>
                <c:pt idx="9">
                  <c:v>10053207.697127387</c:v>
                </c:pt>
                <c:pt idx="10">
                  <c:v>12073206.350527387</c:v>
                </c:pt>
                <c:pt idx="11">
                  <c:v>12240838.797389774</c:v>
                </c:pt>
                <c:pt idx="12">
                  <c:v>12451259.193968143</c:v>
                </c:pt>
                <c:pt idx="13">
                  <c:v>12451259.193968143</c:v>
                </c:pt>
                <c:pt idx="14">
                  <c:v>12451259.193968143</c:v>
                </c:pt>
                <c:pt idx="15">
                  <c:v>15896258.431344811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12B8-4B18-985B-6638A4D55630}"/>
            </c:ext>
          </c:extLst>
        </c:ser>
        <c:ser>
          <c:idx val="33"/>
          <c:order val="33"/>
          <c:tx>
            <c:strRef>
              <c:f>MODELOfinal!$AV$1</c:f>
              <c:strCache>
                <c:ptCount val="1"/>
                <c:pt idx="0">
                  <c:v> PR34 </c:v>
                </c:pt>
              </c:strCache>
            </c:strRef>
          </c:tx>
          <c:spPr>
            <a:ln w="22225" cap="rnd" cmpd="sng" algn="ctr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MODELOfinal!$AV$2:$AV$17</c:f>
              <c:numCache>
                <c:formatCode>_-* #,##0_-;\-* #,##0_-;_-* "-"??_-;_-@_-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3498986.9657300003</c:v>
                </c:pt>
                <c:pt idx="3">
                  <c:v>3666619.4125923864</c:v>
                </c:pt>
                <c:pt idx="4">
                  <c:v>5686618.0659923861</c:v>
                </c:pt>
                <c:pt idx="5">
                  <c:v>9131617.3033690527</c:v>
                </c:pt>
                <c:pt idx="6">
                  <c:v>9131617.3033690527</c:v>
                </c:pt>
                <c:pt idx="7">
                  <c:v>14840759.524622386</c:v>
                </c:pt>
                <c:pt idx="8">
                  <c:v>14990183.93204711</c:v>
                </c:pt>
                <c:pt idx="9">
                  <c:v>15263707.642330721</c:v>
                </c:pt>
                <c:pt idx="10">
                  <c:v>15263707.642330721</c:v>
                </c:pt>
                <c:pt idx="11">
                  <c:v>15263707.642330721</c:v>
                </c:pt>
                <c:pt idx="12">
                  <c:v>15518205.587904055</c:v>
                </c:pt>
                <c:pt idx="13">
                  <c:v>15685838.034766441</c:v>
                </c:pt>
                <c:pt idx="14">
                  <c:v>15685838.034766441</c:v>
                </c:pt>
                <c:pt idx="15">
                  <c:v>15896258.431344811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12B8-4B18-985B-6638A4D55630}"/>
            </c:ext>
          </c:extLst>
        </c:ser>
        <c:ser>
          <c:idx val="34"/>
          <c:order val="34"/>
          <c:tx>
            <c:strRef>
              <c:f>MODELOfinal!$AW$1</c:f>
              <c:strCache>
                <c:ptCount val="1"/>
                <c:pt idx="0">
                  <c:v> PR35 </c:v>
                </c:pt>
              </c:strCache>
            </c:strRef>
          </c:tx>
          <c:spPr>
            <a:ln w="22225" cap="rnd" cmpd="sng" algn="ctr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MODELOfinal!$AW$2:$AW$17</c:f>
              <c:numCache>
                <c:formatCode>_-* #,##0_-;\-* #,##0_-;_-* "-"??_-;_-@_-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273523.71028361004</c:v>
                </c:pt>
                <c:pt idx="3">
                  <c:v>2293522.3636836102</c:v>
                </c:pt>
                <c:pt idx="4">
                  <c:v>2293522.3636836102</c:v>
                </c:pt>
                <c:pt idx="5">
                  <c:v>2461154.8105459963</c:v>
                </c:pt>
                <c:pt idx="6">
                  <c:v>2461154.8105459963</c:v>
                </c:pt>
                <c:pt idx="7">
                  <c:v>5906154.0479226634</c:v>
                </c:pt>
                <c:pt idx="8">
                  <c:v>8925735.3875226639</c:v>
                </c:pt>
                <c:pt idx="9">
                  <c:v>12424722.353252664</c:v>
                </c:pt>
                <c:pt idx="10">
                  <c:v>12574146.760677388</c:v>
                </c:pt>
                <c:pt idx="11">
                  <c:v>12741779.207539774</c:v>
                </c:pt>
                <c:pt idx="12">
                  <c:v>12952199.604118144</c:v>
                </c:pt>
                <c:pt idx="13">
                  <c:v>13206697.549691478</c:v>
                </c:pt>
                <c:pt idx="14">
                  <c:v>13206697.549691478</c:v>
                </c:pt>
                <c:pt idx="15">
                  <c:v>18915839.770944811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12B8-4B18-985B-6638A4D55630}"/>
            </c:ext>
          </c:extLst>
        </c:ser>
        <c:ser>
          <c:idx val="35"/>
          <c:order val="35"/>
          <c:tx>
            <c:strRef>
              <c:f>MODELOfinal!$AX$1</c:f>
              <c:strCache>
                <c:ptCount val="1"/>
                <c:pt idx="0">
                  <c:v> PR36 </c:v>
                </c:pt>
              </c:strCache>
            </c:strRef>
          </c:tx>
          <c:spPr>
            <a:ln w="22225" cap="rnd" cmpd="sng" algn="ctr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MODELOfinal!$AX$2:$AX$17</c:f>
              <c:numCache>
                <c:formatCode>_-* #,##0_-;\-* #,##0_-;_-* "-"??_-;_-@_-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3444999.2373766666</c:v>
                </c:pt>
                <c:pt idx="3">
                  <c:v>3444999.2373766666</c:v>
                </c:pt>
                <c:pt idx="4">
                  <c:v>3444999.2373766666</c:v>
                </c:pt>
                <c:pt idx="5">
                  <c:v>3594423.6448013899</c:v>
                </c:pt>
                <c:pt idx="6">
                  <c:v>3867947.3550849999</c:v>
                </c:pt>
                <c:pt idx="7">
                  <c:v>4035579.801947386</c:v>
                </c:pt>
                <c:pt idx="8">
                  <c:v>4035579.801947386</c:v>
                </c:pt>
                <c:pt idx="9">
                  <c:v>4290077.7475207197</c:v>
                </c:pt>
                <c:pt idx="10">
                  <c:v>6310076.4009207198</c:v>
                </c:pt>
                <c:pt idx="11">
                  <c:v>9329657.7405207194</c:v>
                </c:pt>
                <c:pt idx="12">
                  <c:v>9329657.7405207194</c:v>
                </c:pt>
                <c:pt idx="13">
                  <c:v>15038799.961774053</c:v>
                </c:pt>
                <c:pt idx="14">
                  <c:v>18537786.927504055</c:v>
                </c:pt>
                <c:pt idx="15">
                  <c:v>18705419.37436644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12B8-4B18-985B-6638A4D55630}"/>
            </c:ext>
          </c:extLst>
        </c:ser>
        <c:ser>
          <c:idx val="36"/>
          <c:order val="36"/>
          <c:tx>
            <c:strRef>
              <c:f>MODELOfinal!$AY$1</c:f>
              <c:strCache>
                <c:ptCount val="1"/>
                <c:pt idx="0">
                  <c:v> PR37 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MODELOfinal!$AY$2:$AY$17</c:f>
              <c:numCache>
                <c:formatCode>_-* #,##0_-;\-* #,##0_-;_-* "-"??_-;_-@_-</c:formatCode>
                <c:ptCount val="16"/>
                <c:pt idx="0">
                  <c:v>0</c:v>
                </c:pt>
                <c:pt idx="1">
                  <c:v>167632.44686238607</c:v>
                </c:pt>
                <c:pt idx="2">
                  <c:v>317056.8542871094</c:v>
                </c:pt>
                <c:pt idx="3">
                  <c:v>317056.8542871094</c:v>
                </c:pt>
                <c:pt idx="4">
                  <c:v>527477.25086547853</c:v>
                </c:pt>
                <c:pt idx="5">
                  <c:v>3972476.4882421461</c:v>
                </c:pt>
                <c:pt idx="6">
                  <c:v>3972476.4882421461</c:v>
                </c:pt>
                <c:pt idx="7">
                  <c:v>4246000.1985257566</c:v>
                </c:pt>
                <c:pt idx="8">
                  <c:v>4246000.1985257566</c:v>
                </c:pt>
                <c:pt idx="9">
                  <c:v>4246000.1985257566</c:v>
                </c:pt>
                <c:pt idx="10">
                  <c:v>7265581.5381257571</c:v>
                </c:pt>
                <c:pt idx="11">
                  <c:v>7520079.4836990908</c:v>
                </c:pt>
                <c:pt idx="12">
                  <c:v>11019066.449429091</c:v>
                </c:pt>
                <c:pt idx="13">
                  <c:v>11186698.896291478</c:v>
                </c:pt>
                <c:pt idx="14">
                  <c:v>16895841.117544811</c:v>
                </c:pt>
                <c:pt idx="15">
                  <c:v>18915839.770944811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12B8-4B18-985B-6638A4D55630}"/>
            </c:ext>
          </c:extLst>
        </c:ser>
        <c:ser>
          <c:idx val="37"/>
          <c:order val="37"/>
          <c:tx>
            <c:strRef>
              <c:f>MODELOfinal!$AZ$1</c:f>
              <c:strCache>
                <c:ptCount val="1"/>
                <c:pt idx="0">
                  <c:v> PR38 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MODELOfinal!$AZ$2:$AZ$17</c:f>
              <c:numCache>
                <c:formatCode>_-* #,##0_-;\-* #,##0_-;_-* "-"??_-;_-@_-</c:formatCode>
                <c:ptCount val="16"/>
                <c:pt idx="0">
                  <c:v>0</c:v>
                </c:pt>
                <c:pt idx="1">
                  <c:v>210420.39657836914</c:v>
                </c:pt>
                <c:pt idx="2">
                  <c:v>3709407.3623083695</c:v>
                </c:pt>
                <c:pt idx="3">
                  <c:v>3709407.3623083695</c:v>
                </c:pt>
                <c:pt idx="4">
                  <c:v>3709407.3623083695</c:v>
                </c:pt>
                <c:pt idx="5">
                  <c:v>3709407.3623083695</c:v>
                </c:pt>
                <c:pt idx="6">
                  <c:v>3709407.3623083695</c:v>
                </c:pt>
                <c:pt idx="7">
                  <c:v>5729406.0157083692</c:v>
                </c:pt>
                <c:pt idx="8">
                  <c:v>5878830.4231330929</c:v>
                </c:pt>
                <c:pt idx="9">
                  <c:v>6152354.133416703</c:v>
                </c:pt>
                <c:pt idx="10">
                  <c:v>9597353.3707933687</c:v>
                </c:pt>
                <c:pt idx="11">
                  <c:v>12616934.710393369</c:v>
                </c:pt>
                <c:pt idx="12">
                  <c:v>12616934.710393369</c:v>
                </c:pt>
                <c:pt idx="13">
                  <c:v>18326076.931646705</c:v>
                </c:pt>
                <c:pt idx="14">
                  <c:v>18580574.877220038</c:v>
                </c:pt>
                <c:pt idx="15">
                  <c:v>18748207.324082423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12B8-4B18-985B-6638A4D55630}"/>
            </c:ext>
          </c:extLst>
        </c:ser>
        <c:ser>
          <c:idx val="38"/>
          <c:order val="38"/>
          <c:tx>
            <c:strRef>
              <c:f>MODELOfinal!$BA$1</c:f>
              <c:strCache>
                <c:ptCount val="1"/>
                <c:pt idx="0">
                  <c:v> PR39 </c:v>
                </c:pt>
              </c:strCache>
            </c:strRef>
          </c:tx>
          <c:spPr>
            <a:ln w="22225" cap="rnd" cmpd="sng" algn="ctr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MODELOfinal!$BA$2:$BA$17</c:f>
              <c:numCache>
                <c:formatCode>_-* #,##0_-;\-* #,##0_-;_-* "-"??_-;_-@_-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210420.39657836914</c:v>
                </c:pt>
                <c:pt idx="4">
                  <c:v>5919562.6178317042</c:v>
                </c:pt>
                <c:pt idx="5">
                  <c:v>5919562.6178317042</c:v>
                </c:pt>
                <c:pt idx="6">
                  <c:v>6087195.0646940898</c:v>
                </c:pt>
                <c:pt idx="7">
                  <c:v>6087195.0646940898</c:v>
                </c:pt>
                <c:pt idx="8">
                  <c:v>6254827.5115564764</c:v>
                </c:pt>
                <c:pt idx="9">
                  <c:v>6528351.2218400864</c:v>
                </c:pt>
                <c:pt idx="10">
                  <c:v>10027338.187570088</c:v>
                </c:pt>
                <c:pt idx="11">
                  <c:v>10027338.187570088</c:v>
                </c:pt>
                <c:pt idx="12">
                  <c:v>13472337.424946755</c:v>
                </c:pt>
                <c:pt idx="13">
                  <c:v>13726835.370520089</c:v>
                </c:pt>
                <c:pt idx="14">
                  <c:v>15746834.023920089</c:v>
                </c:pt>
                <c:pt idx="15">
                  <c:v>18766415.36352009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12B8-4B18-985B-6638A4D55630}"/>
            </c:ext>
          </c:extLst>
        </c:ser>
        <c:ser>
          <c:idx val="39"/>
          <c:order val="39"/>
          <c:tx>
            <c:strRef>
              <c:f>MODELOfinal!$BB$1</c:f>
              <c:strCache>
                <c:ptCount val="1"/>
                <c:pt idx="0">
                  <c:v> PR40 </c:v>
                </c:pt>
              </c:strCache>
            </c:strRef>
          </c:tx>
          <c:spPr>
            <a:ln w="22225" cap="rnd" cmpd="sng" algn="ctr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MODELOfinal!$BB$2:$BB$17</c:f>
              <c:numCache>
                <c:formatCode>_-* #,##0_-;\-* #,##0_-;_-* "-"??_-;_-@_-</c:formatCode>
                <c:ptCount val="16"/>
                <c:pt idx="0">
                  <c:v>0</c:v>
                </c:pt>
                <c:pt idx="1">
                  <c:v>210420.39657836914</c:v>
                </c:pt>
                <c:pt idx="2">
                  <c:v>210420.39657836914</c:v>
                </c:pt>
                <c:pt idx="3">
                  <c:v>3655419.6339550368</c:v>
                </c:pt>
                <c:pt idx="4">
                  <c:v>3655419.6339550368</c:v>
                </c:pt>
                <c:pt idx="5">
                  <c:v>3823052.0808174228</c:v>
                </c:pt>
                <c:pt idx="6">
                  <c:v>3823052.0808174228</c:v>
                </c:pt>
                <c:pt idx="7">
                  <c:v>4096575.7911010329</c:v>
                </c:pt>
                <c:pt idx="8">
                  <c:v>4096575.7911010329</c:v>
                </c:pt>
                <c:pt idx="9">
                  <c:v>4096575.7911010329</c:v>
                </c:pt>
                <c:pt idx="10">
                  <c:v>4264208.2379634194</c:v>
                </c:pt>
                <c:pt idx="11">
                  <c:v>7283789.5775634199</c:v>
                </c:pt>
                <c:pt idx="12">
                  <c:v>12992931.798816754</c:v>
                </c:pt>
                <c:pt idx="13">
                  <c:v>13142356.206241477</c:v>
                </c:pt>
                <c:pt idx="14">
                  <c:v>16641343.171971478</c:v>
                </c:pt>
                <c:pt idx="15">
                  <c:v>18661341.825371478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12B8-4B18-985B-6638A4D55630}"/>
            </c:ext>
          </c:extLst>
        </c:ser>
        <c:ser>
          <c:idx val="40"/>
          <c:order val="40"/>
          <c:tx>
            <c:strRef>
              <c:f>MODELOfinal!$BC$1</c:f>
              <c:strCache>
                <c:ptCount val="1"/>
                <c:pt idx="0">
                  <c:v> PR41 </c:v>
                </c:pt>
              </c:strCache>
            </c:strRef>
          </c:tx>
          <c:spPr>
            <a:ln w="22225" cap="rnd" cmpd="sng" algn="ctr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MODELOfinal!$BC$2:$BC$17</c:f>
              <c:numCache>
                <c:formatCode>_-* #,##0_-;\-* #,##0_-;_-* "-"??_-;_-@_-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5709142.2212533336</c:v>
                </c:pt>
                <c:pt idx="3">
                  <c:v>5876774.6681157202</c:v>
                </c:pt>
                <c:pt idx="4">
                  <c:v>5876774.6681157202</c:v>
                </c:pt>
                <c:pt idx="5">
                  <c:v>7896773.3215157203</c:v>
                </c:pt>
                <c:pt idx="6">
                  <c:v>7896773.3215157203</c:v>
                </c:pt>
                <c:pt idx="7">
                  <c:v>8107193.7180940891</c:v>
                </c:pt>
                <c:pt idx="8">
                  <c:v>8274826.1649564747</c:v>
                </c:pt>
                <c:pt idx="9">
                  <c:v>8274826.1649564747</c:v>
                </c:pt>
                <c:pt idx="10">
                  <c:v>11719825.40233314</c:v>
                </c:pt>
                <c:pt idx="11">
                  <c:v>15218812.368063141</c:v>
                </c:pt>
                <c:pt idx="12">
                  <c:v>15492336.078346752</c:v>
                </c:pt>
                <c:pt idx="13">
                  <c:v>18511917.417946752</c:v>
                </c:pt>
                <c:pt idx="14">
                  <c:v>18661341.825371474</c:v>
                </c:pt>
                <c:pt idx="15">
                  <c:v>18915839.770944808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12B8-4B18-985B-6638A4D55630}"/>
            </c:ext>
          </c:extLst>
        </c:ser>
        <c:ser>
          <c:idx val="41"/>
          <c:order val="41"/>
          <c:tx>
            <c:strRef>
              <c:f>MODELOfinal!$BD$1</c:f>
              <c:strCache>
                <c:ptCount val="1"/>
                <c:pt idx="0">
                  <c:v> PR42 </c:v>
                </c:pt>
              </c:strCache>
            </c:strRef>
          </c:tx>
          <c:spPr>
            <a:ln w="22225" cap="rnd" cmpd="sng" algn="ctr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MODELOfinal!$BD$2:$BD$17</c:f>
              <c:numCache>
                <c:formatCode>_-* #,##0_-;\-* #,##0_-;_-* "-"??_-;_-@_-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3444999.2373766666</c:v>
                </c:pt>
                <c:pt idx="3">
                  <c:v>3444999.2373766666</c:v>
                </c:pt>
                <c:pt idx="4">
                  <c:v>3655419.6339550358</c:v>
                </c:pt>
                <c:pt idx="5">
                  <c:v>9364561.855208369</c:v>
                </c:pt>
                <c:pt idx="6">
                  <c:v>9364561.855208369</c:v>
                </c:pt>
                <c:pt idx="7">
                  <c:v>9513986.2626330927</c:v>
                </c:pt>
                <c:pt idx="8">
                  <c:v>9768484.2082064264</c:v>
                </c:pt>
                <c:pt idx="9">
                  <c:v>10042007.918490037</c:v>
                </c:pt>
                <c:pt idx="10">
                  <c:v>10042007.918490037</c:v>
                </c:pt>
                <c:pt idx="11">
                  <c:v>13540994.884220038</c:v>
                </c:pt>
                <c:pt idx="12">
                  <c:v>13540994.884220038</c:v>
                </c:pt>
                <c:pt idx="13">
                  <c:v>15560993.537620038</c:v>
                </c:pt>
                <c:pt idx="14">
                  <c:v>15728625.984482424</c:v>
                </c:pt>
                <c:pt idx="15">
                  <c:v>18748207.324082423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12B8-4B18-985B-6638A4D55630}"/>
            </c:ext>
          </c:extLst>
        </c:ser>
        <c:ser>
          <c:idx val="42"/>
          <c:order val="42"/>
          <c:tx>
            <c:strRef>
              <c:f>MODELOfinal!$BE$1</c:f>
              <c:strCache>
                <c:ptCount val="1"/>
                <c:pt idx="0">
                  <c:v> PR43 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MODELOfinal!$BE$2:$BE$17</c:f>
              <c:numCache>
                <c:formatCode>_-* #,##0_-;\-* #,##0_-;_-* "-"??_-;_-@_-</c:formatCode>
                <c:ptCount val="16"/>
                <c:pt idx="0">
                  <c:v>0</c:v>
                </c:pt>
                <c:pt idx="1">
                  <c:v>273523.71028361004</c:v>
                </c:pt>
                <c:pt idx="2">
                  <c:v>273523.71028361004</c:v>
                </c:pt>
                <c:pt idx="3">
                  <c:v>273523.71028361004</c:v>
                </c:pt>
                <c:pt idx="4">
                  <c:v>441156.15714599611</c:v>
                </c:pt>
                <c:pt idx="5">
                  <c:v>608788.60400838219</c:v>
                </c:pt>
                <c:pt idx="6">
                  <c:v>608788.60400838219</c:v>
                </c:pt>
                <c:pt idx="7">
                  <c:v>608788.60400838219</c:v>
                </c:pt>
                <c:pt idx="8">
                  <c:v>6317930.8252617158</c:v>
                </c:pt>
                <c:pt idx="9">
                  <c:v>6572428.7708350495</c:v>
                </c:pt>
                <c:pt idx="10">
                  <c:v>10071415.73656505</c:v>
                </c:pt>
                <c:pt idx="11">
                  <c:v>12091414.38996505</c:v>
                </c:pt>
                <c:pt idx="12">
                  <c:v>15110995.72956505</c:v>
                </c:pt>
                <c:pt idx="13">
                  <c:v>15110995.72956505</c:v>
                </c:pt>
                <c:pt idx="14">
                  <c:v>15321416.12614342</c:v>
                </c:pt>
                <c:pt idx="15">
                  <c:v>18766415.363520086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12B8-4B18-985B-6638A4D55630}"/>
            </c:ext>
          </c:extLst>
        </c:ser>
        <c:ser>
          <c:idx val="43"/>
          <c:order val="43"/>
          <c:tx>
            <c:strRef>
              <c:f>MODELOfinal!$BF$1</c:f>
              <c:strCache>
                <c:ptCount val="1"/>
                <c:pt idx="0">
                  <c:v> PR44 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MODELOfinal!$BF$2:$BF$17</c:f>
              <c:numCache>
                <c:formatCode>_-* #,##0_-;\-* #,##0_-;_-* "-"??_-;_-@_-</c:formatCode>
                <c:ptCount val="16"/>
                <c:pt idx="0">
                  <c:v>0</c:v>
                </c:pt>
                <c:pt idx="1">
                  <c:v>3444999.2373766666</c:v>
                </c:pt>
                <c:pt idx="2">
                  <c:v>3444999.2373766666</c:v>
                </c:pt>
                <c:pt idx="3">
                  <c:v>3444999.2373766666</c:v>
                </c:pt>
                <c:pt idx="4">
                  <c:v>3612631.6842390527</c:v>
                </c:pt>
                <c:pt idx="5">
                  <c:v>5632630.3376390524</c:v>
                </c:pt>
                <c:pt idx="6">
                  <c:v>5800262.784501439</c:v>
                </c:pt>
                <c:pt idx="7">
                  <c:v>5949687.1919261627</c:v>
                </c:pt>
                <c:pt idx="8">
                  <c:v>11658829.413179496</c:v>
                </c:pt>
                <c:pt idx="9">
                  <c:v>11913327.35875283</c:v>
                </c:pt>
                <c:pt idx="10">
                  <c:v>11913327.35875283</c:v>
                </c:pt>
                <c:pt idx="11">
                  <c:v>11913327.35875283</c:v>
                </c:pt>
                <c:pt idx="12">
                  <c:v>11913327.35875283</c:v>
                </c:pt>
                <c:pt idx="13">
                  <c:v>14932908.69835283</c:v>
                </c:pt>
                <c:pt idx="14">
                  <c:v>18431895.664082833</c:v>
                </c:pt>
                <c:pt idx="15">
                  <c:v>18642316.0606612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12B8-4B18-985B-6638A4D55630}"/>
            </c:ext>
          </c:extLst>
        </c:ser>
        <c:ser>
          <c:idx val="44"/>
          <c:order val="44"/>
          <c:tx>
            <c:strRef>
              <c:f>MODELOfinal!$BH$1</c:f>
              <c:strCache>
                <c:ptCount val="1"/>
                <c:pt idx="0">
                  <c:v> PR45 </c:v>
                </c:pt>
              </c:strCache>
            </c:strRef>
          </c:tx>
          <c:spPr>
            <a:ln w="22225" cap="rnd" cmpd="sng" algn="ctr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MODELOfinal!$BH$2:$BH$17</c:f>
              <c:numCache>
                <c:formatCode>_-* #,##0_-;\-* #,##0_-;_-* "-"??_-;_-@_-</c:formatCode>
                <c:ptCount val="16"/>
                <c:pt idx="0">
                  <c:v>0</c:v>
                </c:pt>
                <c:pt idx="1">
                  <c:v>3019581.3396000001</c:v>
                </c:pt>
                <c:pt idx="2">
                  <c:v>8728723.5608533341</c:v>
                </c:pt>
                <c:pt idx="3">
                  <c:v>8896356.0077157207</c:v>
                </c:pt>
                <c:pt idx="4">
                  <c:v>9045780.4151404444</c:v>
                </c:pt>
                <c:pt idx="5">
                  <c:v>9319304.1254240535</c:v>
                </c:pt>
                <c:pt idx="6">
                  <c:v>9573802.0709973872</c:v>
                </c:pt>
                <c:pt idx="7">
                  <c:v>9573802.0709973872</c:v>
                </c:pt>
                <c:pt idx="8">
                  <c:v>9573802.0709973872</c:v>
                </c:pt>
                <c:pt idx="9">
                  <c:v>9741434.5178597737</c:v>
                </c:pt>
                <c:pt idx="10">
                  <c:v>9741434.5178597737</c:v>
                </c:pt>
                <c:pt idx="11">
                  <c:v>11761433.171259774</c:v>
                </c:pt>
                <c:pt idx="12">
                  <c:v>11971853.567838144</c:v>
                </c:pt>
                <c:pt idx="13">
                  <c:v>11971853.567838144</c:v>
                </c:pt>
                <c:pt idx="14">
                  <c:v>11971853.567838144</c:v>
                </c:pt>
                <c:pt idx="15">
                  <c:v>15416852.805214811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12B8-4B18-985B-6638A4D55630}"/>
            </c:ext>
          </c:extLst>
        </c:ser>
        <c:ser>
          <c:idx val="45"/>
          <c:order val="45"/>
          <c:tx>
            <c:strRef>
              <c:f>MODELOfinal!$BI$1</c:f>
              <c:strCache>
                <c:ptCount val="1"/>
                <c:pt idx="0">
                  <c:v> PR46 </c:v>
                </c:pt>
              </c:strCache>
            </c:strRef>
          </c:tx>
          <c:spPr>
            <a:ln w="22225" cap="rnd" cmpd="sng" algn="ctr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MODELOfinal!$BI$2:$BI$17</c:f>
              <c:numCache>
                <c:formatCode>_-* #,##0_-;\-* #,##0_-;_-* "-"??_-;_-@_-</c:formatCode>
                <c:ptCount val="16"/>
                <c:pt idx="0">
                  <c:v>0</c:v>
                </c:pt>
                <c:pt idx="1">
                  <c:v>167632.44686238607</c:v>
                </c:pt>
                <c:pt idx="2">
                  <c:v>3612631.6842390527</c:v>
                </c:pt>
                <c:pt idx="3">
                  <c:v>3762056.091663776</c:v>
                </c:pt>
                <c:pt idx="4">
                  <c:v>9471198.3129171096</c:v>
                </c:pt>
                <c:pt idx="5">
                  <c:v>9471198.3129171096</c:v>
                </c:pt>
                <c:pt idx="6">
                  <c:v>9471198.3129171096</c:v>
                </c:pt>
                <c:pt idx="7">
                  <c:v>9471198.3129171096</c:v>
                </c:pt>
                <c:pt idx="8">
                  <c:v>9681618.7094954792</c:v>
                </c:pt>
                <c:pt idx="9">
                  <c:v>9681618.7094954792</c:v>
                </c:pt>
                <c:pt idx="10">
                  <c:v>11701617.362895479</c:v>
                </c:pt>
                <c:pt idx="11">
                  <c:v>11869249.809757866</c:v>
                </c:pt>
                <c:pt idx="12">
                  <c:v>15368236.775487866</c:v>
                </c:pt>
                <c:pt idx="13">
                  <c:v>15641760.485771477</c:v>
                </c:pt>
                <c:pt idx="14">
                  <c:v>15641760.485771477</c:v>
                </c:pt>
                <c:pt idx="15">
                  <c:v>18661341.825371478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12B8-4B18-985B-6638A4D55630}"/>
            </c:ext>
          </c:extLst>
        </c:ser>
        <c:ser>
          <c:idx val="46"/>
          <c:order val="46"/>
          <c:tx>
            <c:strRef>
              <c:f>MODELOfinal!$BJ$1</c:f>
              <c:strCache>
                <c:ptCount val="1"/>
                <c:pt idx="0">
                  <c:v> PR47 </c:v>
                </c:pt>
              </c:strCache>
            </c:strRef>
          </c:tx>
          <c:spPr>
            <a:ln w="22225" cap="rnd" cmpd="sng" algn="ctr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MODELOfinal!$BJ$2:$BJ$17</c:f>
              <c:numCache>
                <c:formatCode>_-* #,##0_-;\-* #,##0_-;_-* "-"??_-;_-@_-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5709142.2212533355</c:v>
                </c:pt>
                <c:pt idx="3">
                  <c:v>5709142.2212533355</c:v>
                </c:pt>
                <c:pt idx="4">
                  <c:v>9208129.1869833358</c:v>
                </c:pt>
                <c:pt idx="5">
                  <c:v>9375761.6338457223</c:v>
                </c:pt>
                <c:pt idx="6">
                  <c:v>9375761.6338457223</c:v>
                </c:pt>
                <c:pt idx="7">
                  <c:v>12820760.871222388</c:v>
                </c:pt>
                <c:pt idx="8">
                  <c:v>12970185.278647112</c:v>
                </c:pt>
                <c:pt idx="9">
                  <c:v>12970185.278647112</c:v>
                </c:pt>
                <c:pt idx="10">
                  <c:v>15989766.618247112</c:v>
                </c:pt>
                <c:pt idx="11">
                  <c:v>18009765.271647111</c:v>
                </c:pt>
                <c:pt idx="12">
                  <c:v>18009765.271647111</c:v>
                </c:pt>
                <c:pt idx="13">
                  <c:v>18264263.217220444</c:v>
                </c:pt>
                <c:pt idx="14">
                  <c:v>18431895.664082829</c:v>
                </c:pt>
                <c:pt idx="15">
                  <c:v>18705419.37436644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12B8-4B18-985B-6638A4D55630}"/>
            </c:ext>
          </c:extLst>
        </c:ser>
        <c:ser>
          <c:idx val="47"/>
          <c:order val="47"/>
          <c:tx>
            <c:strRef>
              <c:f>MODELOfinal!$BK$1</c:f>
              <c:strCache>
                <c:ptCount val="1"/>
                <c:pt idx="0">
                  <c:v> PR48 </c:v>
                </c:pt>
              </c:strCache>
            </c:strRef>
          </c:tx>
          <c:spPr>
            <a:ln w="22225" cap="rnd" cmpd="sng" algn="ctr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MODELOfinal!$BK$2:$BK$17</c:f>
              <c:numCache>
                <c:formatCode>_-* #,##0_-;\-* #,##0_-;_-* "-"??_-;_-@_-</c:formatCode>
                <c:ptCount val="16"/>
                <c:pt idx="0">
                  <c:v>0</c:v>
                </c:pt>
                <c:pt idx="1">
                  <c:v>3444999.2373766666</c:v>
                </c:pt>
                <c:pt idx="2">
                  <c:v>9154141.4586299993</c:v>
                </c:pt>
                <c:pt idx="3">
                  <c:v>11174140.112029999</c:v>
                </c:pt>
                <c:pt idx="4">
                  <c:v>11428638.057603333</c:v>
                </c:pt>
                <c:pt idx="5">
                  <c:v>11702161.767886944</c:v>
                </c:pt>
                <c:pt idx="6">
                  <c:v>11702161.767886944</c:v>
                </c:pt>
                <c:pt idx="7">
                  <c:v>11912582.164465314</c:v>
                </c:pt>
                <c:pt idx="8">
                  <c:v>11912582.164465314</c:v>
                </c:pt>
                <c:pt idx="9">
                  <c:v>15411569.130195314</c:v>
                </c:pt>
                <c:pt idx="10">
                  <c:v>15560993.537620038</c:v>
                </c:pt>
                <c:pt idx="11">
                  <c:v>15560993.537620038</c:v>
                </c:pt>
                <c:pt idx="12">
                  <c:v>15560993.537620038</c:v>
                </c:pt>
                <c:pt idx="13">
                  <c:v>15560993.537620038</c:v>
                </c:pt>
                <c:pt idx="14">
                  <c:v>18580574.877220038</c:v>
                </c:pt>
                <c:pt idx="15">
                  <c:v>18748207.324082423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12B8-4B18-985B-6638A4D55630}"/>
            </c:ext>
          </c:extLst>
        </c:ser>
        <c:ser>
          <c:idx val="48"/>
          <c:order val="48"/>
          <c:tx>
            <c:strRef>
              <c:f>MODELOfinal!$BL$1</c:f>
              <c:strCache>
                <c:ptCount val="1"/>
                <c:pt idx="0">
                  <c:v> PR49 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MODELOfinal!$BL$2:$BL$17</c:f>
              <c:numCache>
                <c:formatCode>_-* #,##0_-;\-* #,##0_-;_-* "-"??_-;_-@_-</c:formatCode>
                <c:ptCount val="16"/>
                <c:pt idx="0">
                  <c:v>0</c:v>
                </c:pt>
                <c:pt idx="1">
                  <c:v>149424.40742472332</c:v>
                </c:pt>
                <c:pt idx="2">
                  <c:v>403922.35299805668</c:v>
                </c:pt>
                <c:pt idx="3">
                  <c:v>403922.35299805668</c:v>
                </c:pt>
                <c:pt idx="4">
                  <c:v>571554.79986044276</c:v>
                </c:pt>
                <c:pt idx="5">
                  <c:v>781975.19643881195</c:v>
                </c:pt>
                <c:pt idx="6">
                  <c:v>3801556.5360388122</c:v>
                </c:pt>
                <c:pt idx="7">
                  <c:v>3969188.9829011983</c:v>
                </c:pt>
                <c:pt idx="8">
                  <c:v>9678331.2041545324</c:v>
                </c:pt>
                <c:pt idx="9">
                  <c:v>9678331.2041545324</c:v>
                </c:pt>
                <c:pt idx="10">
                  <c:v>9678331.2041545324</c:v>
                </c:pt>
                <c:pt idx="11">
                  <c:v>9678331.2041545324</c:v>
                </c:pt>
                <c:pt idx="12">
                  <c:v>13177318.169884533</c:v>
                </c:pt>
                <c:pt idx="13">
                  <c:v>16622317.4072612</c:v>
                </c:pt>
                <c:pt idx="14">
                  <c:v>16895841.117544811</c:v>
                </c:pt>
                <c:pt idx="15">
                  <c:v>16895841.117544811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12B8-4B18-985B-6638A4D55630}"/>
            </c:ext>
          </c:extLst>
        </c:ser>
        <c:ser>
          <c:idx val="49"/>
          <c:order val="49"/>
          <c:tx>
            <c:strRef>
              <c:f>MODELOfinal!$BM$1</c:f>
              <c:strCache>
                <c:ptCount val="1"/>
                <c:pt idx="0">
                  <c:v> PR50 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MODELOfinal!$BM$2:$BM$17</c:f>
              <c:numCache>
                <c:formatCode>_-* #,##0_-;\-* #,##0_-;_-* "-"??_-;_-@_-</c:formatCode>
                <c:ptCount val="16"/>
                <c:pt idx="0">
                  <c:v>0</c:v>
                </c:pt>
                <c:pt idx="1">
                  <c:v>5709142.2212533336</c:v>
                </c:pt>
                <c:pt idx="2">
                  <c:v>5876774.6681157202</c:v>
                </c:pt>
                <c:pt idx="3">
                  <c:v>5876774.6681157202</c:v>
                </c:pt>
                <c:pt idx="4">
                  <c:v>8896356.0077157207</c:v>
                </c:pt>
                <c:pt idx="5">
                  <c:v>8896356.0077157207</c:v>
                </c:pt>
                <c:pt idx="6">
                  <c:v>12395342.973445721</c:v>
                </c:pt>
                <c:pt idx="7">
                  <c:v>12605763.370024091</c:v>
                </c:pt>
                <c:pt idx="8">
                  <c:v>12605763.370024091</c:v>
                </c:pt>
                <c:pt idx="9">
                  <c:v>14625762.023424091</c:v>
                </c:pt>
                <c:pt idx="10">
                  <c:v>14899285.7337077</c:v>
                </c:pt>
                <c:pt idx="11">
                  <c:v>15066918.180570086</c:v>
                </c:pt>
                <c:pt idx="12">
                  <c:v>18511917.417946752</c:v>
                </c:pt>
                <c:pt idx="13">
                  <c:v>18661341.825371474</c:v>
                </c:pt>
                <c:pt idx="14">
                  <c:v>18661341.825371474</c:v>
                </c:pt>
                <c:pt idx="15">
                  <c:v>18915839.770944808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12B8-4B18-985B-6638A4D556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1859679439"/>
        <c:axId val="1859679855"/>
      </c:lineChart>
      <c:catAx>
        <c:axId val="18596794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59679855"/>
        <c:crosses val="autoZero"/>
        <c:auto val="1"/>
        <c:lblAlgn val="ctr"/>
        <c:lblOffset val="100"/>
        <c:noMultiLvlLbl val="0"/>
      </c:catAx>
      <c:valAx>
        <c:axId val="1859679855"/>
        <c:scaling>
          <c:orientation val="minMax"/>
        </c:scaling>
        <c:delete val="0"/>
        <c:axPos val="l"/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59679439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2138538405590864"/>
          <c:y val="2.6247083697871106E-2"/>
          <c:w val="7.0582487430035104E-2"/>
          <c:h val="0.92477398658501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649781277340334"/>
          <c:y val="5.0925925925925923E-2"/>
          <c:w val="0.682730311900694"/>
          <c:h val="0.8416746864975212"/>
        </c:manualLayout>
      </c:layout>
      <c:lineChart>
        <c:grouping val="standard"/>
        <c:varyColors val="0"/>
        <c:ser>
          <c:idx val="0"/>
          <c:order val="0"/>
          <c:tx>
            <c:strRef>
              <c:f>MODELO2!$M$1</c:f>
              <c:strCache>
                <c:ptCount val="1"/>
                <c:pt idx="0">
                  <c:v>Prod.total Original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MODELO2!$M$2:$M$17</c:f>
              <c:numCache>
                <c:formatCode>_-* #,##0_-;\-* #,##0_-;_-* "-"??_-;_-@_-</c:formatCode>
                <c:ptCount val="16"/>
                <c:pt idx="0">
                  <c:v>0</c:v>
                </c:pt>
                <c:pt idx="1">
                  <c:v>149424.40742472332</c:v>
                </c:pt>
                <c:pt idx="2">
                  <c:v>317056.8542871094</c:v>
                </c:pt>
                <c:pt idx="3">
                  <c:v>484689.30114949547</c:v>
                </c:pt>
                <c:pt idx="4">
                  <c:v>695109.69772786461</c:v>
                </c:pt>
                <c:pt idx="5">
                  <c:v>695109.69772786461</c:v>
                </c:pt>
                <c:pt idx="6">
                  <c:v>949607.64330119791</c:v>
                </c:pt>
                <c:pt idx="7">
                  <c:v>949607.64330119791</c:v>
                </c:pt>
                <c:pt idx="8">
                  <c:v>6658749.8645545319</c:v>
                </c:pt>
                <c:pt idx="9">
                  <c:v>6658749.8645545319</c:v>
                </c:pt>
                <c:pt idx="10">
                  <c:v>10103749.101931199</c:v>
                </c:pt>
                <c:pt idx="11">
                  <c:v>10103749.101931199</c:v>
                </c:pt>
                <c:pt idx="12">
                  <c:v>13123330.4415312</c:v>
                </c:pt>
                <c:pt idx="13">
                  <c:v>13123330.4415312</c:v>
                </c:pt>
                <c:pt idx="14">
                  <c:v>15143329.0949312</c:v>
                </c:pt>
                <c:pt idx="15">
                  <c:v>18642316.0606612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29-4900-9AA8-B747C398DD5B}"/>
            </c:ext>
          </c:extLst>
        </c:ser>
        <c:ser>
          <c:idx val="1"/>
          <c:order val="1"/>
          <c:tx>
            <c:strRef>
              <c:f>MODELO2!$K$1</c:f>
              <c:strCache>
                <c:ptCount val="1"/>
                <c:pt idx="0">
                  <c:v>Produção total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MODELO2!$K$2:$K$17</c:f>
              <c:numCache>
                <c:formatCode>_-* #,##0_-;\-* #,##0_-;_-* "-"??_-;_-@_-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5709142.2212533355</c:v>
                </c:pt>
                <c:pt idx="4">
                  <c:v>5858566.6286780592</c:v>
                </c:pt>
                <c:pt idx="5">
                  <c:v>6132090.3389616692</c:v>
                </c:pt>
                <c:pt idx="6">
                  <c:v>6342510.735540038</c:v>
                </c:pt>
                <c:pt idx="7">
                  <c:v>9362092.0751400385</c:v>
                </c:pt>
                <c:pt idx="8">
                  <c:v>9529724.522002425</c:v>
                </c:pt>
                <c:pt idx="9">
                  <c:v>12974723.759379093</c:v>
                </c:pt>
                <c:pt idx="10">
                  <c:v>13142356.206241479</c:v>
                </c:pt>
                <c:pt idx="11">
                  <c:v>13142356.206241479</c:v>
                </c:pt>
                <c:pt idx="12">
                  <c:v>13396854.151814813</c:v>
                </c:pt>
                <c:pt idx="13">
                  <c:v>13396854.151814813</c:v>
                </c:pt>
                <c:pt idx="14">
                  <c:v>16895841.117544815</c:v>
                </c:pt>
                <c:pt idx="15">
                  <c:v>18915839.770944815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429-4900-9AA8-B747C398DD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753947871"/>
        <c:axId val="121432015"/>
      </c:lineChart>
      <c:catAx>
        <c:axId val="7539478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1432015"/>
        <c:crosses val="autoZero"/>
        <c:auto val="1"/>
        <c:lblAlgn val="ctr"/>
        <c:lblOffset val="100"/>
        <c:noMultiLvlLbl val="0"/>
      </c:catAx>
      <c:valAx>
        <c:axId val="121432015"/>
        <c:scaling>
          <c:orientation val="minMax"/>
        </c:scaling>
        <c:delete val="0"/>
        <c:axPos val="l"/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53947871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165828682475263"/>
          <c:y val="0.34837853601633123"/>
          <c:w val="0.14288626412120498"/>
          <c:h val="0.50231700204141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1333500</xdr:colOff>
          <xdr:row>20</xdr:row>
          <xdr:rowOff>28575</xdr:rowOff>
        </xdr:from>
        <xdr:to>
          <xdr:col>5</xdr:col>
          <xdr:colOff>85725</xdr:colOff>
          <xdr:row>21</xdr:row>
          <xdr:rowOff>114300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0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Botão 2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1371600</xdr:colOff>
      <xdr:row>19</xdr:row>
      <xdr:rowOff>23812</xdr:rowOff>
    </xdr:from>
    <xdr:to>
      <xdr:col>14</xdr:col>
      <xdr:colOff>0</xdr:colOff>
      <xdr:row>46</xdr:row>
      <xdr:rowOff>104775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1333500</xdr:colOff>
          <xdr:row>20</xdr:row>
          <xdr:rowOff>28575</xdr:rowOff>
        </xdr:from>
        <xdr:to>
          <xdr:col>5</xdr:col>
          <xdr:colOff>85725</xdr:colOff>
          <xdr:row>21</xdr:row>
          <xdr:rowOff>114300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1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Botão 2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1371600</xdr:colOff>
      <xdr:row>19</xdr:row>
      <xdr:rowOff>23812</xdr:rowOff>
    </xdr:from>
    <xdr:to>
      <xdr:col>16</xdr:col>
      <xdr:colOff>533400</xdr:colOff>
      <xdr:row>46</xdr:row>
      <xdr:rowOff>104775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414336</xdr:colOff>
      <xdr:row>20</xdr:row>
      <xdr:rowOff>109537</xdr:rowOff>
    </xdr:from>
    <xdr:to>
      <xdr:col>16</xdr:col>
      <xdr:colOff>438150</xdr:colOff>
      <xdr:row>34</xdr:row>
      <xdr:rowOff>185737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OP_Interliga&#231;&#227;o_Po&#231;os_vR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b UEP1 Com injetor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23EC8-860E-4840-8821-A99B7BA8BCCA}">
  <sheetPr codeName="Planilha19">
    <tabColor rgb="FFFF0000"/>
  </sheetPr>
  <dimension ref="A1:S20"/>
  <sheetViews>
    <sheetView tabSelected="1" topLeftCell="E1" workbookViewId="0">
      <selection activeCell="G17" sqref="G17"/>
    </sheetView>
  </sheetViews>
  <sheetFormatPr defaultRowHeight="15" x14ac:dyDescent="0.25"/>
  <cols>
    <col min="1" max="1" width="9.140625" style="12"/>
    <col min="2" max="2" width="11" style="12" customWidth="1"/>
    <col min="3" max="3" width="14.42578125" style="12" customWidth="1"/>
    <col min="4" max="4" width="20.7109375" style="12" customWidth="1"/>
    <col min="5" max="5" width="18.85546875" style="12" customWidth="1"/>
    <col min="6" max="6" width="22" style="12" customWidth="1"/>
    <col min="7" max="7" width="18.140625" style="10" customWidth="1"/>
    <col min="8" max="8" width="15.5703125" style="12" customWidth="1"/>
    <col min="9" max="9" width="18.140625" style="12" customWidth="1"/>
    <col min="10" max="10" width="17.5703125" style="12" customWidth="1"/>
    <col min="11" max="11" width="10.5703125" style="12" customWidth="1"/>
    <col min="12" max="14" width="9.140625" style="12" customWidth="1"/>
    <col min="15" max="19" width="11.7109375" style="12" customWidth="1"/>
    <col min="20" max="16384" width="9.140625" style="12"/>
  </cols>
  <sheetData>
    <row r="1" spans="1:19" ht="36.75" customHeight="1" x14ac:dyDescent="0.25">
      <c r="A1" s="3" t="s">
        <v>5</v>
      </c>
      <c r="B1" s="3" t="s">
        <v>19</v>
      </c>
      <c r="C1" s="3" t="s">
        <v>23</v>
      </c>
      <c r="D1" s="3" t="s">
        <v>22</v>
      </c>
      <c r="E1" s="3" t="s">
        <v>24</v>
      </c>
      <c r="F1" s="3" t="s">
        <v>18</v>
      </c>
      <c r="G1" s="29" t="s">
        <v>21</v>
      </c>
      <c r="H1" s="25" t="s">
        <v>70</v>
      </c>
      <c r="I1" s="30" t="s">
        <v>25</v>
      </c>
      <c r="J1" s="30" t="s">
        <v>26</v>
      </c>
      <c r="K1" s="30" t="s">
        <v>2</v>
      </c>
      <c r="L1" s="20"/>
      <c r="M1" s="20"/>
      <c r="N1" s="20"/>
      <c r="O1" s="25" t="s">
        <v>45</v>
      </c>
      <c r="P1" s="25" t="s">
        <v>46</v>
      </c>
      <c r="Q1" s="25" t="s">
        <v>47</v>
      </c>
      <c r="R1" s="25" t="s">
        <v>48</v>
      </c>
      <c r="S1" s="25" t="s">
        <v>49</v>
      </c>
    </row>
    <row r="2" spans="1:19" x14ac:dyDescent="0.25">
      <c r="A2" s="1">
        <v>1</v>
      </c>
      <c r="B2" s="7">
        <v>9</v>
      </c>
      <c r="C2" s="2">
        <f>VLOOKUP(B2,INDICE2!$A$3:$F$18,6)</f>
        <v>232</v>
      </c>
      <c r="D2" s="1">
        <f>0</f>
        <v>0</v>
      </c>
      <c r="E2" s="2">
        <f>VLOOKUP(B2,INDICE2!$A$3:$F$18,5)</f>
        <v>24608.371643333336</v>
      </c>
      <c r="F2" s="8">
        <f>0</f>
        <v>0</v>
      </c>
      <c r="G2" s="10">
        <v>0</v>
      </c>
      <c r="H2" s="20">
        <f>G2</f>
        <v>0</v>
      </c>
      <c r="I2" s="20">
        <f>IF(VLOOKUP(B2,INDICE2!$A$3:$C$55,2,FALSE)="P",1,0)</f>
        <v>1</v>
      </c>
      <c r="J2" s="20">
        <f>IF(VLOOKUP(B2,INDICE2!$A$3:$C$55,2,FALSE)="I",1,0)</f>
        <v>0</v>
      </c>
      <c r="K2" s="20" t="str">
        <f>VLOOKUP(B2,INDICE2!$A$3:$I$55,4,FALSE)</f>
        <v>MSP1</v>
      </c>
      <c r="L2" s="20"/>
      <c r="M2" s="20"/>
      <c r="N2" s="20"/>
      <c r="O2" s="20">
        <v>0</v>
      </c>
      <c r="P2" s="20">
        <v>0</v>
      </c>
      <c r="Q2" s="20">
        <v>0</v>
      </c>
      <c r="R2" s="20">
        <v>0</v>
      </c>
      <c r="S2" s="20">
        <v>0</v>
      </c>
    </row>
    <row r="3" spans="1:19" x14ac:dyDescent="0.25">
      <c r="A3" s="1">
        <v>2</v>
      </c>
      <c r="B3" s="7">
        <v>11</v>
      </c>
      <c r="C3" s="2">
        <f>VLOOKUP(B3,INDICE2!$A$3:$F$18,6)</f>
        <v>199</v>
      </c>
      <c r="D3" s="2">
        <f>D2+C2</f>
        <v>232</v>
      </c>
      <c r="E3" s="2">
        <f>VLOOKUP(B3,INDICE2!$A$3:$F$18,5)</f>
        <v>17311.553956666667</v>
      </c>
      <c r="F3" s="8">
        <f>F2+E2</f>
        <v>24608.371643333336</v>
      </c>
      <c r="G3" s="10">
        <f>(D4-D3)*E3</f>
        <v>3444999.2373766666</v>
      </c>
      <c r="H3" s="20">
        <f>G3+H2</f>
        <v>3444999.2373766666</v>
      </c>
      <c r="I3" s="20">
        <f>IF(VLOOKUP(B3,INDICE2!$A$3:$C$55,2,FALSE)="P",1,0)+I2</f>
        <v>2</v>
      </c>
      <c r="J3" s="20">
        <f>IF(VLOOKUP(B3,INDICE2!$A$3:$C$55,2,FALSE)="I",1,0)+J2</f>
        <v>0</v>
      </c>
      <c r="K3" s="20" t="str">
        <f>VLOOKUP(B3,INDICE2!$A$3:$I$55,4,FALSE)</f>
        <v>MSP2</v>
      </c>
      <c r="L3" s="20"/>
      <c r="M3" s="20"/>
      <c r="N3" s="20"/>
      <c r="O3" s="20">
        <v>0</v>
      </c>
      <c r="P3" s="20">
        <v>0</v>
      </c>
      <c r="Q3" s="20">
        <v>0</v>
      </c>
      <c r="R3" s="20">
        <v>0</v>
      </c>
      <c r="S3" s="20">
        <v>0</v>
      </c>
    </row>
    <row r="4" spans="1:19" x14ac:dyDescent="0.25">
      <c r="A4" s="1">
        <v>3</v>
      </c>
      <c r="B4" s="7">
        <v>16</v>
      </c>
      <c r="C4" s="2">
        <f>VLOOKUP(B4,INDICE2!$A$3:$F$18,6)</f>
        <v>223</v>
      </c>
      <c r="D4" s="2">
        <f t="shared" ref="D4:D18" si="0">D3+C3</f>
        <v>431</v>
      </c>
      <c r="E4" s="2">
        <f>VLOOKUP(B4,INDICE2!$A$3:$F$18,5)</f>
        <v>15690.524510000001</v>
      </c>
      <c r="F4" s="8">
        <f t="shared" ref="F4:F18" si="1">F3+E3</f>
        <v>41919.925600000002</v>
      </c>
      <c r="G4" s="10">
        <f>(D5-D4)*E4</f>
        <v>3498986.9657300003</v>
      </c>
      <c r="H4" s="20">
        <f t="shared" ref="H4:H18" si="2">G4+H3</f>
        <v>6943986.2031066669</v>
      </c>
      <c r="I4" s="20">
        <f>IF(VLOOKUP(B4,INDICE2!$A$3:$C$55,2,FALSE)="P",1,0)+I3</f>
        <v>3</v>
      </c>
      <c r="J4" s="20">
        <f>IF(VLOOKUP(B4,INDICE2!$A$3:$C$55,2,FALSE)="I",1,0)+J3</f>
        <v>0</v>
      </c>
      <c r="K4" s="20" t="str">
        <f>VLOOKUP(B4,INDICE2!$A$3:$I$55,4,FALSE)</f>
        <v>MSP5</v>
      </c>
      <c r="L4" s="20"/>
      <c r="M4" s="20"/>
      <c r="N4" s="20"/>
      <c r="O4" s="20">
        <v>0</v>
      </c>
      <c r="P4" s="20">
        <v>2019998.6534</v>
      </c>
      <c r="Q4" s="20">
        <v>3444999.2373766666</v>
      </c>
      <c r="R4" s="20">
        <v>0</v>
      </c>
      <c r="S4" s="20">
        <v>5709142.2212533336</v>
      </c>
    </row>
    <row r="5" spans="1:19" x14ac:dyDescent="0.25">
      <c r="A5" s="1">
        <v>4</v>
      </c>
      <c r="B5" s="7">
        <v>1</v>
      </c>
      <c r="C5" s="2">
        <f>VLOOKUP(B5,INDICE2!$A$3:$F$18,6)</f>
        <v>41</v>
      </c>
      <c r="D5" s="2">
        <f t="shared" si="0"/>
        <v>654</v>
      </c>
      <c r="E5" s="2">
        <f>VLOOKUP(B5,INDICE2!$A$3:$F$18,5)</f>
        <v>6671.3100069173179</v>
      </c>
      <c r="F5" s="8">
        <f t="shared" si="1"/>
        <v>57610.450110000005</v>
      </c>
      <c r="G5" s="10">
        <f t="shared" ref="G5:G17" si="3">(D6-D5)*E5</f>
        <v>273523.71028361004</v>
      </c>
      <c r="H5" s="20">
        <f t="shared" si="2"/>
        <v>7217509.913390277</v>
      </c>
      <c r="I5" s="20">
        <f>IF(VLOOKUP(B5,INDICE2!$A$3:$C$55,2,FALSE)="P",1,0)+I4</f>
        <v>4</v>
      </c>
      <c r="J5" s="20">
        <f>IF(VLOOKUP(B5,INDICE2!$A$3:$C$55,2,FALSE)="I",1,0)+J4</f>
        <v>0</v>
      </c>
      <c r="K5" s="20" t="str">
        <f>VLOOKUP(B5,INDICE2!$A$3:$I$55,4,FALSE)</f>
        <v>P1</v>
      </c>
      <c r="L5" s="20"/>
      <c r="M5" s="20"/>
      <c r="N5" s="20"/>
      <c r="O5" s="20">
        <v>0</v>
      </c>
      <c r="P5" s="20">
        <v>2169423.0608247234</v>
      </c>
      <c r="Q5" s="20">
        <v>3444999.2373766666</v>
      </c>
      <c r="R5" s="20">
        <v>210420.39657836914</v>
      </c>
      <c r="S5" s="20">
        <v>5876774.6681157202</v>
      </c>
    </row>
    <row r="6" spans="1:19" x14ac:dyDescent="0.25">
      <c r="A6" s="1">
        <v>5</v>
      </c>
      <c r="B6" s="7">
        <v>2</v>
      </c>
      <c r="C6" s="2">
        <f>VLOOKUP(B6,INDICE2!$A$3:$F$18,6)</f>
        <v>46</v>
      </c>
      <c r="D6" s="2">
        <f t="shared" si="0"/>
        <v>695</v>
      </c>
      <c r="E6" s="2">
        <f>VLOOKUP(B6,INDICE2!$A$3:$F$18,5)</f>
        <v>3248.356683146159</v>
      </c>
      <c r="F6" s="8">
        <f t="shared" si="1"/>
        <v>64281.760116917321</v>
      </c>
      <c r="G6" s="10">
        <f t="shared" si="3"/>
        <v>149424.40742472332</v>
      </c>
      <c r="H6" s="20">
        <f t="shared" si="2"/>
        <v>7366934.3208150007</v>
      </c>
      <c r="I6" s="20">
        <f>IF(VLOOKUP(B6,INDICE2!$A$3:$C$55,2,FALSE)="P",1,0)+I5</f>
        <v>5</v>
      </c>
      <c r="J6" s="20">
        <f>IF(VLOOKUP(B6,INDICE2!$A$3:$C$55,2,FALSE)="I",1,0)+J5</f>
        <v>0</v>
      </c>
      <c r="K6" s="20" t="str">
        <f>VLOOKUP(B6,INDICE2!$A$3:$I$55,4,FALSE)</f>
        <v>P2</v>
      </c>
      <c r="L6" s="20"/>
      <c r="M6" s="20"/>
      <c r="N6" s="20"/>
      <c r="O6" s="20">
        <v>210420.39657836914</v>
      </c>
      <c r="P6" s="20">
        <v>2337055.5076871095</v>
      </c>
      <c r="Q6" s="20">
        <v>3444999.2373766666</v>
      </c>
      <c r="R6" s="20">
        <v>5919562.6178317042</v>
      </c>
      <c r="S6" s="20">
        <v>5876774.6681157202</v>
      </c>
    </row>
    <row r="7" spans="1:19" x14ac:dyDescent="0.25">
      <c r="A7" s="1">
        <v>6</v>
      </c>
      <c r="B7" s="7">
        <v>14</v>
      </c>
      <c r="C7" s="2">
        <f>VLOOKUP(B7,INDICE2!$A$3:$F$18,6)</f>
        <v>231.7</v>
      </c>
      <c r="D7" s="2">
        <f t="shared" si="0"/>
        <v>741</v>
      </c>
      <c r="E7" s="2">
        <f>VLOOKUP(B7,INDICE2!$A$3:$F$18,5)</f>
        <v>0</v>
      </c>
      <c r="F7" s="8">
        <f t="shared" si="1"/>
        <v>67530.116800063479</v>
      </c>
      <c r="G7" s="10">
        <f t="shared" si="3"/>
        <v>0</v>
      </c>
      <c r="H7" s="20">
        <f t="shared" si="2"/>
        <v>7366934.3208150007</v>
      </c>
      <c r="I7" s="20">
        <f>IF(VLOOKUP(B7,INDICE2!$A$3:$C$55,2,FALSE)="P",1,0)+I6</f>
        <v>5</v>
      </c>
      <c r="J7" s="20">
        <f>IF(VLOOKUP(B7,INDICE2!$A$3:$C$55,2,FALSE)="I",1,0)+J6</f>
        <v>1</v>
      </c>
      <c r="K7" s="20" t="str">
        <f>VLOOKUP(B7,INDICE2!$A$3:$I$55,4,FALSE)</f>
        <v>MSI3</v>
      </c>
      <c r="L7" s="20"/>
      <c r="M7" s="20"/>
      <c r="N7" s="20"/>
      <c r="O7" s="20">
        <v>210420.39657836914</v>
      </c>
      <c r="P7" s="20">
        <v>2337055.5076871095</v>
      </c>
      <c r="Q7" s="20">
        <v>3594423.6448013899</v>
      </c>
      <c r="R7" s="20">
        <v>5919562.6178317042</v>
      </c>
      <c r="S7" s="20">
        <v>7896773.3215157203</v>
      </c>
    </row>
    <row r="8" spans="1:19" x14ac:dyDescent="0.25">
      <c r="A8" s="1">
        <v>7</v>
      </c>
      <c r="B8" s="7">
        <v>10</v>
      </c>
      <c r="C8" s="2">
        <f>VLOOKUP(B8,INDICE2!$A$3:$F$18,6)</f>
        <v>203</v>
      </c>
      <c r="D8" s="2">
        <f t="shared" si="0"/>
        <v>972.7</v>
      </c>
      <c r="E8" s="2">
        <f>VLOOKUP(B8,INDICE2!$A$3:$F$18,5)</f>
        <v>0</v>
      </c>
      <c r="F8" s="8">
        <f t="shared" si="1"/>
        <v>67530.116800063479</v>
      </c>
      <c r="G8" s="10">
        <f t="shared" si="3"/>
        <v>0</v>
      </c>
      <c r="H8" s="20">
        <f t="shared" si="2"/>
        <v>7366934.3208150007</v>
      </c>
      <c r="I8" s="20">
        <f>IF(VLOOKUP(B8,INDICE2!$A$3:$C$55,2,FALSE)="P",1,0)+I7</f>
        <v>5</v>
      </c>
      <c r="J8" s="20">
        <f>IF(VLOOKUP(B8,INDICE2!$A$3:$C$55,2,FALSE)="I",1,0)+J7</f>
        <v>2</v>
      </c>
      <c r="K8" s="20" t="str">
        <f>VLOOKUP(B8,INDICE2!$A$3:$I$55,4,FALSE)</f>
        <v>MSI1</v>
      </c>
      <c r="L8" s="20"/>
      <c r="M8" s="20"/>
      <c r="N8" s="20"/>
      <c r="O8" s="20">
        <v>3709407.3623083695</v>
      </c>
      <c r="P8" s="20">
        <v>8046197.7289404431</v>
      </c>
      <c r="Q8" s="20">
        <v>3867947.3550849999</v>
      </c>
      <c r="R8" s="20">
        <v>6087195.0646940898</v>
      </c>
      <c r="S8" s="20">
        <v>7896773.3215157203</v>
      </c>
    </row>
    <row r="9" spans="1:19" x14ac:dyDescent="0.25">
      <c r="A9" s="1">
        <v>8</v>
      </c>
      <c r="B9" s="7">
        <v>5</v>
      </c>
      <c r="C9" s="2">
        <f>VLOOKUP(B9,INDICE2!$A$3:$F$18,6)</f>
        <v>51</v>
      </c>
      <c r="D9" s="2">
        <f t="shared" si="0"/>
        <v>1175.7</v>
      </c>
      <c r="E9" s="2">
        <f>VLOOKUP(B9,INDICE2!$A$3:$F$18,5)</f>
        <v>4125.8901289876303</v>
      </c>
      <c r="F9" s="8">
        <f t="shared" si="1"/>
        <v>67530.116800063479</v>
      </c>
      <c r="G9" s="10">
        <f t="shared" si="3"/>
        <v>210420.39657836914</v>
      </c>
      <c r="H9" s="20">
        <f t="shared" si="2"/>
        <v>7577354.7173933694</v>
      </c>
      <c r="I9" s="20">
        <f>IF(VLOOKUP(B9,INDICE2!$A$3:$C$55,2,FALSE)="P",1,0)+I8</f>
        <v>6</v>
      </c>
      <c r="J9" s="20">
        <f>IF(VLOOKUP(B9,INDICE2!$A$3:$C$55,2,FALSE)="I",1,0)+J8</f>
        <v>2</v>
      </c>
      <c r="K9" s="20" t="str">
        <f>VLOOKUP(B9,INDICE2!$A$3:$I$55,4,FALSE)</f>
        <v>P5</v>
      </c>
      <c r="L9" s="20"/>
      <c r="M9" s="20"/>
      <c r="N9" s="20"/>
      <c r="O9" s="20">
        <v>3963905.3078817027</v>
      </c>
      <c r="P9" s="20">
        <v>8300695.6745137768</v>
      </c>
      <c r="Q9" s="20">
        <v>4035579.801947386</v>
      </c>
      <c r="R9" s="20">
        <v>6087195.0646940898</v>
      </c>
      <c r="S9" s="20">
        <v>8107193.7180940891</v>
      </c>
    </row>
    <row r="10" spans="1:19" x14ac:dyDescent="0.25">
      <c r="A10" s="1">
        <v>9</v>
      </c>
      <c r="B10" s="7">
        <v>4</v>
      </c>
      <c r="C10" s="2">
        <f>VLOOKUP(B10,INDICE2!$A$3:$F$18,6)</f>
        <v>47</v>
      </c>
      <c r="D10" s="2">
        <f t="shared" si="0"/>
        <v>1226.7</v>
      </c>
      <c r="E10" s="2">
        <f>VLOOKUP(B10,INDICE2!$A$3:$F$18,5)</f>
        <v>3566.6478055826824</v>
      </c>
      <c r="F10" s="8">
        <f t="shared" si="1"/>
        <v>71656.006929051102</v>
      </c>
      <c r="G10" s="10">
        <f t="shared" si="3"/>
        <v>167632.44686238607</v>
      </c>
      <c r="H10" s="20">
        <f t="shared" si="2"/>
        <v>7744987.164255755</v>
      </c>
      <c r="I10" s="20">
        <f>IF(VLOOKUP(B10,INDICE2!$A$3:$C$55,2,FALSE)="P",1,0)+I9</f>
        <v>6</v>
      </c>
      <c r="J10" s="20">
        <f>IF(VLOOKUP(B10,INDICE2!$A$3:$C$55,2,FALSE)="I",1,0)+J9</f>
        <v>3</v>
      </c>
      <c r="K10" s="20" t="str">
        <f>VLOOKUP(B10,INDICE2!$A$3:$I$55,4,FALSE)</f>
        <v>P4</v>
      </c>
      <c r="L10" s="20"/>
      <c r="M10" s="20"/>
      <c r="N10" s="20"/>
      <c r="O10" s="20">
        <v>3963905.3078817027</v>
      </c>
      <c r="P10" s="20">
        <v>8300695.6745137768</v>
      </c>
      <c r="Q10" s="20">
        <v>4035579.801947386</v>
      </c>
      <c r="R10" s="20">
        <v>6254827.5115564764</v>
      </c>
      <c r="S10" s="20">
        <v>8274826.1649564747</v>
      </c>
    </row>
    <row r="11" spans="1:19" x14ac:dyDescent="0.25">
      <c r="A11" s="1">
        <v>10</v>
      </c>
      <c r="B11" s="7">
        <v>6</v>
      </c>
      <c r="C11" s="2">
        <f>VLOOKUP(B11,INDICE2!$A$3:$F$18,6)</f>
        <v>34</v>
      </c>
      <c r="D11" s="2">
        <f t="shared" si="0"/>
        <v>1273.7</v>
      </c>
      <c r="E11" s="2">
        <f>VLOOKUP(B11,INDICE2!$A$3:$F$18,5)</f>
        <v>0</v>
      </c>
      <c r="F11" s="8">
        <f t="shared" si="1"/>
        <v>75222.65473463379</v>
      </c>
      <c r="G11" s="10">
        <f t="shared" si="3"/>
        <v>0</v>
      </c>
      <c r="H11" s="20">
        <f t="shared" si="2"/>
        <v>7744987.164255755</v>
      </c>
      <c r="I11" s="20">
        <f>IF(VLOOKUP(B11,INDICE2!$A$3:$C$55,2,FALSE)="P",1,0)+I10</f>
        <v>6</v>
      </c>
      <c r="J11" s="20">
        <f>IF(VLOOKUP(B11,INDICE2!$A$3:$C$55,2,FALSE)="I",1,0)+J10</f>
        <v>4</v>
      </c>
      <c r="K11" s="20" t="str">
        <f>VLOOKUP(B11,INDICE2!$A$3:$I$55,4,FALSE)</f>
        <v>P6</v>
      </c>
      <c r="L11" s="20"/>
      <c r="M11" s="20"/>
      <c r="N11" s="20"/>
      <c r="O11" s="20">
        <v>4237429.0181653127</v>
      </c>
      <c r="P11" s="20">
        <v>8468328.1213761624</v>
      </c>
      <c r="Q11" s="20">
        <v>4290077.7475207197</v>
      </c>
      <c r="R11" s="20">
        <v>6528351.2218400864</v>
      </c>
      <c r="S11" s="20">
        <v>8274826.1649564747</v>
      </c>
    </row>
    <row r="12" spans="1:19" x14ac:dyDescent="0.25">
      <c r="A12" s="1">
        <v>11</v>
      </c>
      <c r="B12" s="7">
        <v>3</v>
      </c>
      <c r="C12" s="2">
        <f>VLOOKUP(B12,INDICE2!$A$3:$F$18,6)</f>
        <v>47</v>
      </c>
      <c r="D12" s="2">
        <f t="shared" si="0"/>
        <v>1307.7</v>
      </c>
      <c r="E12" s="2">
        <f>VLOOKUP(B12,INDICE2!$A$3:$F$18,5)</f>
        <v>3566.6478055826824</v>
      </c>
      <c r="F12" s="8">
        <f t="shared" si="1"/>
        <v>75222.65473463379</v>
      </c>
      <c r="G12" s="10">
        <f t="shared" si="3"/>
        <v>167632.44686238607</v>
      </c>
      <c r="H12" s="20">
        <f t="shared" si="2"/>
        <v>7912619.6111181416</v>
      </c>
      <c r="I12" s="20">
        <f>IF(VLOOKUP(B12,INDICE2!$A$3:$C$55,2,FALSE)="P",1,0)+I11</f>
        <v>7</v>
      </c>
      <c r="J12" s="20">
        <f>IF(VLOOKUP(B12,INDICE2!$A$3:$C$55,2,FALSE)="I",1,0)+J11</f>
        <v>4</v>
      </c>
      <c r="K12" s="20" t="str">
        <f>VLOOKUP(B12,INDICE2!$A$3:$I$55,4,FALSE)</f>
        <v>P3</v>
      </c>
      <c r="L12" s="20"/>
      <c r="M12" s="20"/>
      <c r="N12" s="20"/>
      <c r="O12" s="20">
        <v>4405061.4650276992</v>
      </c>
      <c r="P12" s="20">
        <v>11913327.358752828</v>
      </c>
      <c r="Q12" s="20">
        <v>6310076.4009207198</v>
      </c>
      <c r="R12" s="20">
        <v>10027338.187570088</v>
      </c>
      <c r="S12" s="20">
        <v>11719825.40233314</v>
      </c>
    </row>
    <row r="13" spans="1:19" x14ac:dyDescent="0.25">
      <c r="A13" s="1">
        <v>12</v>
      </c>
      <c r="B13" s="7">
        <v>13</v>
      </c>
      <c r="C13" s="2">
        <f>VLOOKUP(B13,INDICE2!$A$3:$F$18,6)</f>
        <v>184</v>
      </c>
      <c r="D13" s="2">
        <f t="shared" si="0"/>
        <v>1354.7</v>
      </c>
      <c r="E13" s="2">
        <f>VLOOKUP(B13,INDICE2!$A$3:$F$18,5)</f>
        <v>16410.76815</v>
      </c>
      <c r="F13" s="8">
        <f t="shared" si="1"/>
        <v>78789.302540216479</v>
      </c>
      <c r="G13" s="10">
        <f t="shared" si="3"/>
        <v>3019581.3396000001</v>
      </c>
      <c r="H13" s="20">
        <f t="shared" si="2"/>
        <v>10932200.950718142</v>
      </c>
      <c r="I13" s="20">
        <f>IF(VLOOKUP(B13,INDICE2!$A$3:$C$55,2,FALSE)="P",1,0)+I12</f>
        <v>8</v>
      </c>
      <c r="J13" s="20">
        <f>IF(VLOOKUP(B13,INDICE2!$A$3:$C$55,2,FALSE)="I",1,0)+J12</f>
        <v>4</v>
      </c>
      <c r="K13" s="20" t="str">
        <f>VLOOKUP(B13,INDICE2!$A$3:$I$55,4,FALSE)</f>
        <v>MSP3</v>
      </c>
      <c r="L13" s="20"/>
      <c r="M13" s="20"/>
      <c r="N13" s="20"/>
      <c r="O13" s="20">
        <v>4572693.9118900858</v>
      </c>
      <c r="P13" s="20">
        <v>11913327.358752828</v>
      </c>
      <c r="Q13" s="20">
        <v>9329657.7405207194</v>
      </c>
      <c r="R13" s="20">
        <v>10027338.187570088</v>
      </c>
      <c r="S13" s="20">
        <v>15218812.368063141</v>
      </c>
    </row>
    <row r="14" spans="1:19" x14ac:dyDescent="0.25">
      <c r="A14" s="1">
        <v>13</v>
      </c>
      <c r="B14" s="7">
        <v>7</v>
      </c>
      <c r="C14" s="2">
        <f>VLOOKUP(B14,INDICE2!$A$3:$F$18,6)</f>
        <v>58</v>
      </c>
      <c r="D14" s="2">
        <f t="shared" si="0"/>
        <v>1538.7</v>
      </c>
      <c r="E14" s="2">
        <f>VLOOKUP(B14,INDICE2!$A$3:$F$18,5)</f>
        <v>4387.8956133333331</v>
      </c>
      <c r="F14" s="8">
        <f t="shared" si="1"/>
        <v>95200.070690216482</v>
      </c>
      <c r="G14" s="10">
        <f t="shared" si="3"/>
        <v>254497.94557333333</v>
      </c>
      <c r="H14" s="20">
        <f t="shared" si="2"/>
        <v>11186698.896291476</v>
      </c>
      <c r="I14" s="20">
        <f>IF(VLOOKUP(B14,INDICE2!$A$3:$C$55,2,FALSE)="P",1,0)+I13</f>
        <v>9</v>
      </c>
      <c r="J14" s="20">
        <f>IF(VLOOKUP(B14,INDICE2!$A$3:$C$55,2,FALSE)="I",1,0)+J13</f>
        <v>4</v>
      </c>
      <c r="K14" s="20" t="str">
        <f>VLOOKUP(B14,INDICE2!$A$3:$I$55,4,FALSE)</f>
        <v>P7</v>
      </c>
      <c r="L14" s="20"/>
      <c r="M14" s="20"/>
      <c r="N14" s="20"/>
      <c r="O14" s="20">
        <v>10281836.133143419</v>
      </c>
      <c r="P14" s="20">
        <v>12123747.755331198</v>
      </c>
      <c r="Q14" s="20">
        <v>9329657.7405207194</v>
      </c>
      <c r="R14" s="20">
        <v>13472337.424946755</v>
      </c>
      <c r="S14" s="20">
        <v>15492336.078346752</v>
      </c>
    </row>
    <row r="15" spans="1:19" x14ac:dyDescent="0.25">
      <c r="A15" s="1">
        <v>14</v>
      </c>
      <c r="B15" s="7">
        <v>15</v>
      </c>
      <c r="C15" s="2">
        <f>VLOOKUP(B15,INDICE2!$A$3:$F$18,6)</f>
        <v>190</v>
      </c>
      <c r="D15" s="2">
        <f t="shared" si="0"/>
        <v>1596.7</v>
      </c>
      <c r="E15" s="2">
        <f>VLOOKUP(B15,INDICE2!$A$3:$F$18,5)</f>
        <v>10631.57186</v>
      </c>
      <c r="F15" s="8">
        <f t="shared" si="1"/>
        <v>99587.966303549809</v>
      </c>
      <c r="G15" s="10">
        <f t="shared" si="3"/>
        <v>2019998.6534</v>
      </c>
      <c r="H15" s="20">
        <f t="shared" si="2"/>
        <v>13206697.549691476</v>
      </c>
      <c r="I15" s="20">
        <f>IF(VLOOKUP(B15,INDICE2!$A$3:$C$55,2,FALSE)="P",1,0)+I14</f>
        <v>10</v>
      </c>
      <c r="J15" s="20">
        <f>IF(VLOOKUP(B15,INDICE2!$A$3:$C$55,2,FALSE)="I",1,0)+J14</f>
        <v>4</v>
      </c>
      <c r="K15" s="20" t="str">
        <f>VLOOKUP(B15,INDICE2!$A$3:$I$55,4,FALSE)</f>
        <v>MSP4</v>
      </c>
      <c r="L15" s="20"/>
      <c r="M15" s="20"/>
      <c r="N15" s="20"/>
      <c r="O15" s="20">
        <v>10431260.540568143</v>
      </c>
      <c r="P15" s="20">
        <v>12397271.465614807</v>
      </c>
      <c r="Q15" s="20">
        <v>15038799.961774053</v>
      </c>
      <c r="R15" s="20">
        <v>13726835.370520089</v>
      </c>
      <c r="S15" s="20">
        <v>18511917.417946752</v>
      </c>
    </row>
    <row r="16" spans="1:19" x14ac:dyDescent="0.25">
      <c r="A16" s="1">
        <v>15</v>
      </c>
      <c r="B16" s="7">
        <v>8</v>
      </c>
      <c r="C16" s="2">
        <f>VLOOKUP(B16,INDICE2!$A$3:$F$18,6)</f>
        <v>35.5</v>
      </c>
      <c r="D16" s="2">
        <f t="shared" si="0"/>
        <v>1786.7</v>
      </c>
      <c r="E16" s="2">
        <f>VLOOKUP(B16,INDICE2!$A$3:$F$18,5)</f>
        <v>0</v>
      </c>
      <c r="F16" s="8">
        <f t="shared" si="1"/>
        <v>110219.53816354981</v>
      </c>
      <c r="G16" s="10">
        <f t="shared" si="3"/>
        <v>0</v>
      </c>
      <c r="H16" s="20">
        <f t="shared" si="2"/>
        <v>13206697.549691476</v>
      </c>
      <c r="I16" s="20">
        <f>IF(VLOOKUP(B16,INDICE2!$A$3:$C$55,2,FALSE)="P",1,0)+I15</f>
        <v>10</v>
      </c>
      <c r="J16" s="20">
        <f>IF(VLOOKUP(B16,INDICE2!$A$3:$C$55,2,FALSE)="I",1,0)+J15</f>
        <v>5</v>
      </c>
      <c r="K16" s="20" t="str">
        <f>VLOOKUP(B16,INDICE2!$A$3:$I$55,4,FALSE)</f>
        <v>P8</v>
      </c>
      <c r="L16" s="20"/>
      <c r="M16" s="20"/>
      <c r="N16" s="20"/>
      <c r="O16" s="20">
        <v>13450841.880168144</v>
      </c>
      <c r="P16" s="20">
        <v>12397271.465614807</v>
      </c>
      <c r="Q16" s="20">
        <v>18537786.927504055</v>
      </c>
      <c r="R16" s="20">
        <v>15746834.023920089</v>
      </c>
      <c r="S16" s="20">
        <v>18661341.825371474</v>
      </c>
    </row>
    <row r="17" spans="1:19" x14ac:dyDescent="0.25">
      <c r="A17" s="1">
        <v>16</v>
      </c>
      <c r="B17" s="7">
        <v>12</v>
      </c>
      <c r="C17" s="2">
        <f>VLOOKUP(B17,INDICE2!$A$3:$F$18,6)</f>
        <v>155</v>
      </c>
      <c r="D17" s="2">
        <f t="shared" si="0"/>
        <v>1822.2</v>
      </c>
      <c r="E17" s="2">
        <f>VLOOKUP(B17,INDICE2!$A$3:$F$18,5)</f>
        <v>0</v>
      </c>
      <c r="F17" s="8">
        <f t="shared" si="1"/>
        <v>110219.53816354981</v>
      </c>
      <c r="G17" s="10">
        <f t="shared" si="3"/>
        <v>0</v>
      </c>
      <c r="H17" s="20">
        <f t="shared" si="2"/>
        <v>13206697.549691476</v>
      </c>
      <c r="I17" s="20">
        <f>IF(VLOOKUP(B17,INDICE2!$A$3:$C$55,2,FALSE)="P",1,0)+I16</f>
        <v>10</v>
      </c>
      <c r="J17" s="20">
        <f>IF(VLOOKUP(B17,INDICE2!$A$3:$C$55,2,FALSE)="I",1,0)+J16</f>
        <v>6</v>
      </c>
      <c r="K17" s="20" t="str">
        <f>VLOOKUP(B17,INDICE2!$A$3:$I$55,4,FALSE)</f>
        <v>MSI2</v>
      </c>
      <c r="L17" s="20"/>
      <c r="M17" s="20"/>
      <c r="N17" s="20"/>
      <c r="O17" s="42">
        <v>15470840.533568144</v>
      </c>
      <c r="P17" s="42">
        <v>15896258.431344807</v>
      </c>
      <c r="Q17" s="42">
        <v>18705419.37436644</v>
      </c>
      <c r="R17" s="42">
        <v>18766415.36352009</v>
      </c>
      <c r="S17" s="44">
        <v>18915839.770944808</v>
      </c>
    </row>
    <row r="18" spans="1:19" x14ac:dyDescent="0.25">
      <c r="A18" s="1"/>
      <c r="B18" s="7"/>
      <c r="C18" s="2"/>
      <c r="D18" s="2">
        <f t="shared" si="0"/>
        <v>1977.2</v>
      </c>
      <c r="E18" s="2"/>
      <c r="F18" s="8">
        <f t="shared" si="1"/>
        <v>110219.53816354981</v>
      </c>
      <c r="H18" s="31">
        <f t="shared" si="2"/>
        <v>13206697.549691476</v>
      </c>
    </row>
    <row r="20" spans="1:19" x14ac:dyDescent="0.25">
      <c r="S20" s="48"/>
    </row>
  </sheetData>
  <phoneticPr fontId="7" type="noConversion"/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Planilha1.HillClimbing">
                <anchor moveWithCells="1" sizeWithCells="1">
                  <from>
                    <xdr:col>3</xdr:col>
                    <xdr:colOff>1333500</xdr:colOff>
                    <xdr:row>20</xdr:row>
                    <xdr:rowOff>28575</xdr:rowOff>
                  </from>
                  <to>
                    <xdr:col>5</xdr:col>
                    <xdr:colOff>85725</xdr:colOff>
                    <xdr:row>21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8B24B-43FE-4FE5-99EE-47297CB5035D}">
  <sheetPr codeName="Planilha1">
    <tabColor rgb="FFFF0000"/>
  </sheetPr>
  <dimension ref="A1:BM21"/>
  <sheetViews>
    <sheetView topLeftCell="AY1" workbookViewId="0">
      <selection activeCell="BA23" sqref="BA23"/>
    </sheetView>
  </sheetViews>
  <sheetFormatPr defaultRowHeight="15" x14ac:dyDescent="0.25"/>
  <cols>
    <col min="1" max="1" width="9.140625" style="12"/>
    <col min="2" max="2" width="11" style="12" customWidth="1"/>
    <col min="3" max="3" width="14.42578125" style="12" customWidth="1"/>
    <col min="4" max="4" width="20.7109375" style="12" customWidth="1"/>
    <col min="5" max="5" width="18.85546875" style="12" customWidth="1"/>
    <col min="6" max="6" width="22" style="12" customWidth="1"/>
    <col min="7" max="7" width="18.140625" style="10" customWidth="1"/>
    <col min="8" max="8" width="15.5703125" style="12" customWidth="1"/>
    <col min="9" max="9" width="18.140625" style="12" customWidth="1"/>
    <col min="10" max="10" width="17.5703125" style="12" customWidth="1"/>
    <col min="11" max="11" width="10.5703125" style="12" customWidth="1"/>
    <col min="12" max="14" width="9.140625" style="12" customWidth="1"/>
    <col min="15" max="19" width="11.5703125" style="12" customWidth="1"/>
    <col min="20" max="34" width="11.42578125" style="12" customWidth="1"/>
    <col min="35" max="58" width="11.7109375" style="12" customWidth="1"/>
    <col min="59" max="59" width="9.140625" style="12" customWidth="1"/>
    <col min="60" max="60" width="11.42578125" style="9" customWidth="1"/>
    <col min="61" max="65" width="11.42578125" style="12" customWidth="1"/>
    <col min="66" max="16384" width="9.140625" style="12"/>
  </cols>
  <sheetData>
    <row r="1" spans="1:65" ht="36.75" customHeight="1" x14ac:dyDescent="0.25">
      <c r="A1" s="3" t="s">
        <v>5</v>
      </c>
      <c r="B1" s="3" t="s">
        <v>19</v>
      </c>
      <c r="C1" s="3" t="s">
        <v>23</v>
      </c>
      <c r="D1" s="3" t="s">
        <v>22</v>
      </c>
      <c r="E1" s="3" t="s">
        <v>24</v>
      </c>
      <c r="F1" s="3" t="s">
        <v>18</v>
      </c>
      <c r="G1" s="29" t="s">
        <v>21</v>
      </c>
      <c r="H1" s="25" t="s">
        <v>70</v>
      </c>
      <c r="I1" s="30" t="s">
        <v>25</v>
      </c>
      <c r="J1" s="30" t="s">
        <v>26</v>
      </c>
      <c r="K1" s="30" t="s">
        <v>2</v>
      </c>
      <c r="L1" s="20"/>
      <c r="M1" s="20"/>
      <c r="N1" s="20"/>
      <c r="O1" s="25" t="s">
        <v>45</v>
      </c>
      <c r="P1" s="25" t="s">
        <v>46</v>
      </c>
      <c r="Q1" s="25" t="s">
        <v>47</v>
      </c>
      <c r="R1" s="25" t="s">
        <v>48</v>
      </c>
      <c r="S1" s="25" t="s">
        <v>49</v>
      </c>
      <c r="T1" s="25" t="s">
        <v>50</v>
      </c>
      <c r="U1" s="25" t="s">
        <v>51</v>
      </c>
      <c r="V1" s="25" t="s">
        <v>52</v>
      </c>
      <c r="W1" s="25" t="s">
        <v>53</v>
      </c>
      <c r="X1" s="25" t="s">
        <v>54</v>
      </c>
      <c r="Y1" s="25" t="s">
        <v>55</v>
      </c>
      <c r="Z1" s="25" t="s">
        <v>56</v>
      </c>
      <c r="AA1" s="25" t="s">
        <v>57</v>
      </c>
      <c r="AB1" s="25" t="s">
        <v>58</v>
      </c>
      <c r="AC1" s="25" t="s">
        <v>59</v>
      </c>
      <c r="AD1" s="25" t="s">
        <v>60</v>
      </c>
      <c r="AE1" s="25" t="s">
        <v>61</v>
      </c>
      <c r="AF1" s="25" t="s">
        <v>62</v>
      </c>
      <c r="AG1" s="25" t="s">
        <v>63</v>
      </c>
      <c r="AH1" s="25" t="s">
        <v>64</v>
      </c>
      <c r="AI1" s="25" t="s">
        <v>65</v>
      </c>
      <c r="AJ1" s="25" t="s">
        <v>66</v>
      </c>
      <c r="AK1" s="25" t="s">
        <v>67</v>
      </c>
      <c r="AL1" s="25" t="s">
        <v>68</v>
      </c>
      <c r="AM1" s="25" t="s">
        <v>69</v>
      </c>
      <c r="AN1" s="25" t="s">
        <v>72</v>
      </c>
      <c r="AO1" s="25" t="s">
        <v>73</v>
      </c>
      <c r="AP1" s="25" t="s">
        <v>74</v>
      </c>
      <c r="AQ1" s="41" t="s">
        <v>75</v>
      </c>
      <c r="AR1" s="25" t="s">
        <v>76</v>
      </c>
      <c r="AS1" s="25" t="s">
        <v>77</v>
      </c>
      <c r="AT1" s="25" t="s">
        <v>78</v>
      </c>
      <c r="AU1" s="25" t="s">
        <v>79</v>
      </c>
      <c r="AV1" s="25" t="s">
        <v>80</v>
      </c>
      <c r="AW1" s="25" t="s">
        <v>81</v>
      </c>
      <c r="AX1" s="25" t="s">
        <v>82</v>
      </c>
      <c r="AY1" s="25" t="s">
        <v>83</v>
      </c>
      <c r="AZ1" s="25" t="s">
        <v>84</v>
      </c>
      <c r="BA1" s="25" t="s">
        <v>85</v>
      </c>
      <c r="BB1" s="25" t="s">
        <v>86</v>
      </c>
      <c r="BC1" s="25" t="s">
        <v>87</v>
      </c>
      <c r="BD1" s="46" t="s">
        <v>88</v>
      </c>
      <c r="BE1" s="25" t="s">
        <v>89</v>
      </c>
      <c r="BF1" s="25" t="s">
        <v>90</v>
      </c>
      <c r="BG1" s="25" t="s">
        <v>97</v>
      </c>
      <c r="BH1" s="25" t="s">
        <v>91</v>
      </c>
      <c r="BI1" s="25" t="s">
        <v>92</v>
      </c>
      <c r="BJ1" s="25" t="s">
        <v>93</v>
      </c>
      <c r="BK1" s="25" t="s">
        <v>94</v>
      </c>
      <c r="BL1" s="25" t="s">
        <v>95</v>
      </c>
      <c r="BM1" s="25" t="s">
        <v>96</v>
      </c>
    </row>
    <row r="2" spans="1:65" x14ac:dyDescent="0.25">
      <c r="A2" s="1">
        <v>1</v>
      </c>
      <c r="B2" s="7">
        <v>6</v>
      </c>
      <c r="C2" s="2">
        <f>VLOOKUP(B2,INDICE2!$A$3:$F$18,6)</f>
        <v>34</v>
      </c>
      <c r="D2" s="1">
        <f>0</f>
        <v>0</v>
      </c>
      <c r="E2" s="2">
        <f>VLOOKUP(B2,INDICE2!$A$3:$F$18,5)</f>
        <v>0</v>
      </c>
      <c r="F2" s="8">
        <f>0</f>
        <v>0</v>
      </c>
      <c r="G2" s="10">
        <v>0</v>
      </c>
      <c r="H2" s="20">
        <f>G2</f>
        <v>0</v>
      </c>
      <c r="I2" s="20">
        <f>IF(VLOOKUP(B2,INDICE2!$A$3:$C$55,2,FALSE)="P",1,0)</f>
        <v>0</v>
      </c>
      <c r="J2" s="20">
        <f>IF(VLOOKUP(B2,INDICE2!$A$3:$C$55,2,FALSE)="I",1,0)</f>
        <v>1</v>
      </c>
      <c r="K2" s="20" t="str">
        <f>VLOOKUP(B2,INDICE2!$A$3:$I$55,4,FALSE)</f>
        <v>P6</v>
      </c>
      <c r="L2" s="20"/>
      <c r="M2" s="20"/>
      <c r="N2" s="20"/>
      <c r="O2" s="20">
        <v>0</v>
      </c>
      <c r="P2" s="20">
        <v>0</v>
      </c>
      <c r="Q2" s="20">
        <v>0</v>
      </c>
      <c r="R2" s="20">
        <v>0</v>
      </c>
      <c r="S2" s="20">
        <v>0</v>
      </c>
      <c r="T2" s="20">
        <v>0</v>
      </c>
      <c r="U2" s="20">
        <v>0</v>
      </c>
      <c r="V2" s="20">
        <v>0</v>
      </c>
      <c r="W2" s="20">
        <v>0</v>
      </c>
      <c r="X2" s="20">
        <v>0</v>
      </c>
      <c r="Y2" s="20">
        <v>0</v>
      </c>
      <c r="Z2" s="20">
        <v>0</v>
      </c>
      <c r="AA2" s="20">
        <v>0</v>
      </c>
      <c r="AB2" s="20">
        <v>0</v>
      </c>
      <c r="AC2" s="20">
        <v>0</v>
      </c>
      <c r="AD2" s="20">
        <v>0</v>
      </c>
      <c r="AE2" s="20">
        <v>0</v>
      </c>
      <c r="AF2" s="20">
        <v>0</v>
      </c>
      <c r="AG2" s="20">
        <v>0</v>
      </c>
      <c r="AH2" s="20">
        <v>0</v>
      </c>
      <c r="AI2" s="10">
        <v>0</v>
      </c>
      <c r="AJ2" s="10">
        <v>0</v>
      </c>
      <c r="AK2" s="10">
        <v>0</v>
      </c>
      <c r="AL2" s="10">
        <v>0</v>
      </c>
      <c r="AM2" s="10">
        <v>0</v>
      </c>
      <c r="AN2" s="10">
        <v>0</v>
      </c>
      <c r="AO2" s="10">
        <v>0</v>
      </c>
      <c r="AP2" s="10">
        <v>0</v>
      </c>
      <c r="AQ2" s="10">
        <v>0</v>
      </c>
      <c r="AR2" s="20">
        <v>0</v>
      </c>
      <c r="AS2" s="20">
        <v>0</v>
      </c>
      <c r="AT2" s="20">
        <v>0</v>
      </c>
      <c r="AU2" s="20">
        <v>0</v>
      </c>
      <c r="AV2" s="20">
        <v>0</v>
      </c>
      <c r="AW2" s="20">
        <v>0</v>
      </c>
      <c r="AX2" s="20">
        <v>0</v>
      </c>
      <c r="AY2" s="20">
        <v>0</v>
      </c>
      <c r="AZ2" s="20">
        <v>0</v>
      </c>
      <c r="BA2" s="20">
        <v>0</v>
      </c>
      <c r="BB2" s="20">
        <v>0</v>
      </c>
      <c r="BC2" s="20">
        <v>0</v>
      </c>
      <c r="BD2" s="10">
        <v>0</v>
      </c>
      <c r="BE2" s="10">
        <v>0</v>
      </c>
      <c r="BF2" s="10">
        <v>0</v>
      </c>
      <c r="BG2" s="5" t="s">
        <v>97</v>
      </c>
      <c r="BH2" s="20">
        <v>0</v>
      </c>
      <c r="BI2" s="20">
        <v>0</v>
      </c>
      <c r="BJ2" s="20">
        <v>0</v>
      </c>
      <c r="BK2" s="20">
        <v>0</v>
      </c>
      <c r="BL2" s="20">
        <v>0</v>
      </c>
      <c r="BM2" s="20">
        <v>0</v>
      </c>
    </row>
    <row r="3" spans="1:65" x14ac:dyDescent="0.25">
      <c r="A3" s="1">
        <v>2</v>
      </c>
      <c r="B3" s="7">
        <v>3</v>
      </c>
      <c r="C3" s="2">
        <f>VLOOKUP(B3,INDICE2!$A$3:$F$18,6)</f>
        <v>47</v>
      </c>
      <c r="D3" s="2">
        <f>D2+C2</f>
        <v>34</v>
      </c>
      <c r="E3" s="2">
        <f>VLOOKUP(B3,INDICE2!$A$3:$F$18,5)</f>
        <v>3566.6478055826824</v>
      </c>
      <c r="F3" s="8">
        <f>F2+E2</f>
        <v>0</v>
      </c>
      <c r="G3" s="10">
        <f>(D4-D3)*E3</f>
        <v>167632.44686238607</v>
      </c>
      <c r="H3" s="20">
        <f>G3+H2</f>
        <v>167632.44686238607</v>
      </c>
      <c r="I3" s="20">
        <f>IF(VLOOKUP(B3,INDICE2!$A$3:$C$55,2,FALSE)="P",1,0)+I2</f>
        <v>1</v>
      </c>
      <c r="J3" s="20">
        <f>IF(VLOOKUP(B3,INDICE2!$A$3:$C$55,2,FALSE)="I",1,0)+J2</f>
        <v>1</v>
      </c>
      <c r="K3" s="20" t="str">
        <f>VLOOKUP(B3,INDICE2!$A$3:$I$55,4,FALSE)</f>
        <v>P3</v>
      </c>
      <c r="L3" s="20"/>
      <c r="M3" s="20"/>
      <c r="N3" s="20"/>
      <c r="O3" s="20">
        <v>0</v>
      </c>
      <c r="P3" s="20">
        <v>3019581.3396000001</v>
      </c>
      <c r="Q3" s="20">
        <v>0</v>
      </c>
      <c r="R3" s="20">
        <v>3498986.9657300003</v>
      </c>
      <c r="S3" s="20">
        <v>0</v>
      </c>
      <c r="T3" s="20">
        <v>167632.44686238607</v>
      </c>
      <c r="U3" s="20">
        <v>0</v>
      </c>
      <c r="V3" s="20">
        <v>254497.94557333333</v>
      </c>
      <c r="W3" s="20">
        <v>5709142.2212533336</v>
      </c>
      <c r="X3" s="20">
        <v>167632.44686238607</v>
      </c>
      <c r="Y3" s="20">
        <v>167632.44686238607</v>
      </c>
      <c r="Z3" s="20">
        <v>273523.71028361004</v>
      </c>
      <c r="AA3" s="20">
        <v>0</v>
      </c>
      <c r="AB3" s="20">
        <v>0</v>
      </c>
      <c r="AC3" s="20">
        <v>210420.39657836914</v>
      </c>
      <c r="AD3" s="20">
        <v>167632.44686238607</v>
      </c>
      <c r="AE3" s="20">
        <v>5709142.2212533336</v>
      </c>
      <c r="AF3" s="20">
        <v>167632.44686238607</v>
      </c>
      <c r="AG3" s="20">
        <v>167632.44686238607</v>
      </c>
      <c r="AH3" s="20">
        <v>167632.44686238607</v>
      </c>
      <c r="AI3" s="10">
        <v>0</v>
      </c>
      <c r="AJ3" s="10">
        <v>0</v>
      </c>
      <c r="AK3" s="10">
        <v>0</v>
      </c>
      <c r="AL3" s="10">
        <v>0</v>
      </c>
      <c r="AM3" s="10">
        <v>167632.44686238607</v>
      </c>
      <c r="AN3" s="10">
        <v>5709142.2212533336</v>
      </c>
      <c r="AO3" s="10">
        <v>2019998.6534</v>
      </c>
      <c r="AP3" s="10">
        <v>0</v>
      </c>
      <c r="AQ3" s="10">
        <v>0</v>
      </c>
      <c r="AR3" s="20">
        <v>3444999.2373766666</v>
      </c>
      <c r="AS3" s="20">
        <v>0</v>
      </c>
      <c r="AT3" s="20">
        <v>3444999.2373766666</v>
      </c>
      <c r="AU3" s="20">
        <v>3498986.9657300003</v>
      </c>
      <c r="AV3" s="20">
        <v>0</v>
      </c>
      <c r="AW3" s="20">
        <v>0</v>
      </c>
      <c r="AX3" s="20">
        <v>0</v>
      </c>
      <c r="AY3" s="20">
        <v>167632.44686238607</v>
      </c>
      <c r="AZ3" s="20">
        <v>210420.39657836914</v>
      </c>
      <c r="BA3" s="20">
        <v>0</v>
      </c>
      <c r="BB3" s="20">
        <v>210420.39657836914</v>
      </c>
      <c r="BC3" s="20">
        <v>0</v>
      </c>
      <c r="BD3" s="10">
        <v>0</v>
      </c>
      <c r="BE3" s="10">
        <v>273523.71028361004</v>
      </c>
      <c r="BF3" s="10">
        <v>3444999.2373766666</v>
      </c>
      <c r="BG3" s="5" t="s">
        <v>97</v>
      </c>
      <c r="BH3" s="20">
        <v>3019581.3396000001</v>
      </c>
      <c r="BI3" s="20">
        <v>167632.44686238607</v>
      </c>
      <c r="BJ3" s="20">
        <v>0</v>
      </c>
      <c r="BK3" s="20">
        <v>3444999.2373766666</v>
      </c>
      <c r="BL3" s="20">
        <v>149424.40742472332</v>
      </c>
      <c r="BM3" s="20">
        <v>5709142.2212533336</v>
      </c>
    </row>
    <row r="4" spans="1:65" x14ac:dyDescent="0.25">
      <c r="A4" s="1">
        <v>3</v>
      </c>
      <c r="B4" s="7">
        <v>5</v>
      </c>
      <c r="C4" s="2">
        <f>VLOOKUP(B4,INDICE2!$A$3:$F$18,6)</f>
        <v>51</v>
      </c>
      <c r="D4" s="2">
        <f t="shared" ref="D4:D18" si="0">D3+C3</f>
        <v>81</v>
      </c>
      <c r="E4" s="2">
        <f>VLOOKUP(B4,INDICE2!$A$3:$F$18,5)</f>
        <v>4125.8901289876303</v>
      </c>
      <c r="F4" s="8">
        <f t="shared" ref="F4:F18" si="1">F3+E3</f>
        <v>3566.6478055826824</v>
      </c>
      <c r="G4" s="10">
        <f>(D5-D4)*E4</f>
        <v>210420.39657836914</v>
      </c>
      <c r="H4" s="20">
        <f t="shared" ref="H4:H18" si="2">G4+H3</f>
        <v>378052.84344075521</v>
      </c>
      <c r="I4" s="20">
        <f>IF(VLOOKUP(B4,INDICE2!$A$3:$C$55,2,FALSE)="P",1,0)+I3</f>
        <v>2</v>
      </c>
      <c r="J4" s="20">
        <f>IF(VLOOKUP(B4,INDICE2!$A$3:$C$55,2,FALSE)="I",1,0)+J3</f>
        <v>1</v>
      </c>
      <c r="K4" s="20" t="str">
        <f>VLOOKUP(B4,INDICE2!$A$3:$I$55,4,FALSE)</f>
        <v>P5</v>
      </c>
      <c r="L4" s="20"/>
      <c r="M4" s="20"/>
      <c r="N4" s="20"/>
      <c r="O4" s="20">
        <v>273523.71028361004</v>
      </c>
      <c r="P4" s="20">
        <v>3293105.0498836101</v>
      </c>
      <c r="Q4" s="20">
        <v>5709142.2212533336</v>
      </c>
      <c r="R4" s="20">
        <v>3498986.9657300003</v>
      </c>
      <c r="S4" s="20">
        <v>5709142.2212533336</v>
      </c>
      <c r="T4" s="20">
        <v>335264.89372477215</v>
      </c>
      <c r="U4" s="20">
        <v>0</v>
      </c>
      <c r="V4" s="20">
        <v>3274079.2851733332</v>
      </c>
      <c r="W4" s="20">
        <v>7729140.8746533338</v>
      </c>
      <c r="X4" s="20">
        <v>441156.15714599611</v>
      </c>
      <c r="Y4" s="20">
        <v>3612631.6842390527</v>
      </c>
      <c r="Z4" s="20">
        <v>273523.71028361004</v>
      </c>
      <c r="AA4" s="20">
        <v>3444999.2373766666</v>
      </c>
      <c r="AB4" s="20">
        <v>0</v>
      </c>
      <c r="AC4" s="20">
        <v>3709407.3623083695</v>
      </c>
      <c r="AD4" s="20">
        <v>5876774.6681157202</v>
      </c>
      <c r="AE4" s="20">
        <v>9208129.1869833339</v>
      </c>
      <c r="AF4" s="20">
        <v>167632.44686238607</v>
      </c>
      <c r="AG4" s="20">
        <v>167632.44686238607</v>
      </c>
      <c r="AH4" s="20">
        <v>3612631.6842390527</v>
      </c>
      <c r="AI4" s="10">
        <v>0</v>
      </c>
      <c r="AJ4" s="10">
        <v>0</v>
      </c>
      <c r="AK4" s="10">
        <v>149424.40742472332</v>
      </c>
      <c r="AL4" s="10">
        <v>2019998.6534</v>
      </c>
      <c r="AM4" s="10">
        <v>167632.44686238607</v>
      </c>
      <c r="AN4" s="10">
        <v>5876774.6681157202</v>
      </c>
      <c r="AO4" s="10">
        <v>5039579.9929999998</v>
      </c>
      <c r="AP4" s="10">
        <v>3444999.2373766666</v>
      </c>
      <c r="AQ4" s="10">
        <v>2019998.6534</v>
      </c>
      <c r="AR4" s="20">
        <v>3444999.2373766666</v>
      </c>
      <c r="AS4" s="20">
        <v>167632.44686238607</v>
      </c>
      <c r="AT4" s="20">
        <v>3718522.9476602767</v>
      </c>
      <c r="AU4" s="20">
        <v>3498986.9657300003</v>
      </c>
      <c r="AV4" s="20">
        <v>3498986.9657300003</v>
      </c>
      <c r="AW4" s="20">
        <v>273523.71028361004</v>
      </c>
      <c r="AX4" s="20">
        <v>3444999.2373766666</v>
      </c>
      <c r="AY4" s="20">
        <v>317056.8542871094</v>
      </c>
      <c r="AZ4" s="20">
        <v>3709407.3623083695</v>
      </c>
      <c r="BA4" s="20">
        <v>0</v>
      </c>
      <c r="BB4" s="20">
        <v>210420.39657836914</v>
      </c>
      <c r="BC4" s="20">
        <v>5709142.2212533336</v>
      </c>
      <c r="BD4" s="10">
        <v>3444999.2373766666</v>
      </c>
      <c r="BE4" s="10">
        <v>273523.71028361004</v>
      </c>
      <c r="BF4" s="10">
        <v>3444999.2373766666</v>
      </c>
      <c r="BG4" s="5" t="s">
        <v>97</v>
      </c>
      <c r="BH4" s="20">
        <v>8728723.5608533341</v>
      </c>
      <c r="BI4" s="20">
        <v>3612631.6842390527</v>
      </c>
      <c r="BJ4" s="20">
        <v>5709142.2212533355</v>
      </c>
      <c r="BK4" s="20">
        <v>9154141.4586299993</v>
      </c>
      <c r="BL4" s="20">
        <v>403922.35299805668</v>
      </c>
      <c r="BM4" s="20">
        <v>5876774.6681157202</v>
      </c>
    </row>
    <row r="5" spans="1:65" x14ac:dyDescent="0.25">
      <c r="A5" s="1">
        <v>4</v>
      </c>
      <c r="B5" s="7">
        <v>9</v>
      </c>
      <c r="C5" s="2">
        <f>VLOOKUP(B5,INDICE2!$A$3:$F$18,6)</f>
        <v>232</v>
      </c>
      <c r="D5" s="2">
        <f t="shared" si="0"/>
        <v>132</v>
      </c>
      <c r="E5" s="2">
        <f>VLOOKUP(B5,INDICE2!$A$3:$F$18,5)</f>
        <v>24608.371643333336</v>
      </c>
      <c r="F5" s="8">
        <f t="shared" si="1"/>
        <v>7692.5379345703132</v>
      </c>
      <c r="G5" s="10">
        <f t="shared" ref="G5:G17" si="3">(D6-D5)*E5</f>
        <v>5709142.2212533336</v>
      </c>
      <c r="H5" s="20">
        <f t="shared" si="2"/>
        <v>6087195.0646940889</v>
      </c>
      <c r="I5" s="20">
        <f>IF(VLOOKUP(B5,INDICE2!$A$3:$C$55,2,FALSE)="P",1,0)+I4</f>
        <v>3</v>
      </c>
      <c r="J5" s="20">
        <f>IF(VLOOKUP(B5,INDICE2!$A$3:$C$55,2,FALSE)="I",1,0)+J4</f>
        <v>1</v>
      </c>
      <c r="K5" s="20" t="str">
        <f>VLOOKUP(B5,INDICE2!$A$3:$I$55,4,FALSE)</f>
        <v>MSP1</v>
      </c>
      <c r="L5" s="20"/>
      <c r="M5" s="20"/>
      <c r="N5" s="20"/>
      <c r="O5" s="20">
        <v>273523.71028361004</v>
      </c>
      <c r="P5" s="20">
        <v>6792092.0156136099</v>
      </c>
      <c r="Q5" s="20">
        <v>5876774.6681157202</v>
      </c>
      <c r="R5" s="20">
        <v>3498986.9657300003</v>
      </c>
      <c r="S5" s="20">
        <v>7729140.8746533338</v>
      </c>
      <c r="T5" s="20">
        <v>6044407.1149781058</v>
      </c>
      <c r="U5" s="20">
        <v>0</v>
      </c>
      <c r="V5" s="20">
        <v>3274079.2851733332</v>
      </c>
      <c r="W5" s="20">
        <v>10748722.214253334</v>
      </c>
      <c r="X5" s="20">
        <v>3940143.1228759964</v>
      </c>
      <c r="Y5" s="20">
        <v>3823052.0808174219</v>
      </c>
      <c r="Z5" s="20">
        <v>273523.71028361004</v>
      </c>
      <c r="AA5" s="20">
        <v>3718522.9476602767</v>
      </c>
      <c r="AB5" s="20">
        <v>210420.39657836914</v>
      </c>
      <c r="AC5" s="20">
        <v>3858831.7697330927</v>
      </c>
      <c r="AD5" s="20">
        <v>7896773.3215157203</v>
      </c>
      <c r="AE5" s="20">
        <v>9357553.5944080576</v>
      </c>
      <c r="AF5" s="20">
        <v>2187631.1002623858</v>
      </c>
      <c r="AG5" s="20">
        <v>5876774.668115722</v>
      </c>
      <c r="AH5" s="20">
        <v>3867129.6298123864</v>
      </c>
      <c r="AI5" s="10">
        <v>0</v>
      </c>
      <c r="AJ5" s="10">
        <v>273523.71028361039</v>
      </c>
      <c r="AK5" s="10">
        <v>5858566.6286780573</v>
      </c>
      <c r="AL5" s="10">
        <v>2019998.6534</v>
      </c>
      <c r="AM5" s="10">
        <v>5876774.6681157202</v>
      </c>
      <c r="AN5" s="10">
        <v>8896356.0077157207</v>
      </c>
      <c r="AO5" s="10">
        <v>5207212.4398623854</v>
      </c>
      <c r="AP5" s="10">
        <v>3444999.2373766666</v>
      </c>
      <c r="AQ5" s="10">
        <v>2169423.0608247234</v>
      </c>
      <c r="AR5" s="20">
        <v>5464997.8907766677</v>
      </c>
      <c r="AS5" s="20">
        <v>422130.39243571961</v>
      </c>
      <c r="AT5" s="20">
        <v>3718522.9476602767</v>
      </c>
      <c r="AU5" s="20">
        <v>3498986.9657300003</v>
      </c>
      <c r="AV5" s="20">
        <v>3666619.4125923864</v>
      </c>
      <c r="AW5" s="20">
        <v>2293522.3636836102</v>
      </c>
      <c r="AX5" s="20">
        <v>3444999.2373766666</v>
      </c>
      <c r="AY5" s="20">
        <v>317056.8542871094</v>
      </c>
      <c r="AZ5" s="20">
        <v>3709407.3623083695</v>
      </c>
      <c r="BA5" s="20">
        <v>210420.39657836914</v>
      </c>
      <c r="BB5" s="20">
        <v>3655419.6339550368</v>
      </c>
      <c r="BC5" s="20">
        <v>5876774.6681157202</v>
      </c>
      <c r="BD5" s="10">
        <v>3444999.2373766666</v>
      </c>
      <c r="BE5" s="10">
        <v>273523.71028361004</v>
      </c>
      <c r="BF5" s="10">
        <v>3444999.2373766666</v>
      </c>
      <c r="BG5" s="5" t="s">
        <v>97</v>
      </c>
      <c r="BH5" s="20">
        <v>8896356.0077157207</v>
      </c>
      <c r="BI5" s="20">
        <v>3762056.091663776</v>
      </c>
      <c r="BJ5" s="20">
        <v>5709142.2212533355</v>
      </c>
      <c r="BK5" s="20">
        <v>11174140.112029999</v>
      </c>
      <c r="BL5" s="20">
        <v>403922.35299805668</v>
      </c>
      <c r="BM5" s="20">
        <v>5876774.6681157202</v>
      </c>
    </row>
    <row r="6" spans="1:65" x14ac:dyDescent="0.25">
      <c r="A6" s="1">
        <v>5</v>
      </c>
      <c r="B6" s="7">
        <v>12</v>
      </c>
      <c r="C6" s="2">
        <f>VLOOKUP(B6,INDICE2!$A$3:$F$18,6)</f>
        <v>155</v>
      </c>
      <c r="D6" s="2">
        <f t="shared" si="0"/>
        <v>364</v>
      </c>
      <c r="E6" s="2">
        <f>VLOOKUP(B6,INDICE2!$A$3:$F$18,5)</f>
        <v>0</v>
      </c>
      <c r="F6" s="8">
        <f t="shared" si="1"/>
        <v>32300.909577903651</v>
      </c>
      <c r="G6" s="10">
        <f t="shared" si="3"/>
        <v>0</v>
      </c>
      <c r="H6" s="20">
        <f t="shared" si="2"/>
        <v>6087195.0646940889</v>
      </c>
      <c r="I6" s="20">
        <f>IF(VLOOKUP(B6,INDICE2!$A$3:$C$55,2,FALSE)="P",1,0)+I5</f>
        <v>3</v>
      </c>
      <c r="J6" s="20">
        <f>IF(VLOOKUP(B6,INDICE2!$A$3:$C$55,2,FALSE)="I",1,0)+J5</f>
        <v>2</v>
      </c>
      <c r="K6" s="20" t="str">
        <f>VLOOKUP(B6,INDICE2!$A$3:$I$55,4,FALSE)</f>
        <v>MSI2</v>
      </c>
      <c r="L6" s="20"/>
      <c r="M6" s="20"/>
      <c r="N6" s="20"/>
      <c r="O6" s="20">
        <v>5982665.9315369437</v>
      </c>
      <c r="P6" s="20">
        <v>6792092.0156136099</v>
      </c>
      <c r="Q6" s="20">
        <v>9375761.6338457204</v>
      </c>
      <c r="R6" s="20">
        <v>3666619.4125923864</v>
      </c>
      <c r="S6" s="20">
        <v>7878565.2820780575</v>
      </c>
      <c r="T6" s="20">
        <v>6044407.1149781058</v>
      </c>
      <c r="U6" s="20">
        <v>254497.94557333333</v>
      </c>
      <c r="V6" s="20">
        <v>3274079.2851733332</v>
      </c>
      <c r="W6" s="20">
        <v>10916354.661115721</v>
      </c>
      <c r="X6" s="20">
        <v>6959724.4624759965</v>
      </c>
      <c r="Y6" s="20">
        <v>7322039.0465474222</v>
      </c>
      <c r="Z6" s="20">
        <v>3718522.9476602767</v>
      </c>
      <c r="AA6" s="20">
        <v>3718522.9476602767</v>
      </c>
      <c r="AB6" s="20">
        <v>5919562.6178317042</v>
      </c>
      <c r="AC6" s="20">
        <v>4026464.2165954788</v>
      </c>
      <c r="AD6" s="20">
        <v>10916354.661115721</v>
      </c>
      <c r="AE6" s="20">
        <v>9357553.5944080576</v>
      </c>
      <c r="AF6" s="20">
        <v>2337055.5076871091</v>
      </c>
      <c r="AG6" s="20">
        <v>7896773.3215157222</v>
      </c>
      <c r="AH6" s="20">
        <v>6886710.9694123864</v>
      </c>
      <c r="AI6" s="10">
        <v>210420.39657836914</v>
      </c>
      <c r="AJ6" s="10">
        <v>273523.71028361039</v>
      </c>
      <c r="AK6" s="10">
        <v>6068987.0252564261</v>
      </c>
      <c r="AL6" s="10">
        <v>5518985.6191300005</v>
      </c>
      <c r="AM6" s="10">
        <v>6044407.1149781067</v>
      </c>
      <c r="AN6" s="10">
        <v>10916354.661115721</v>
      </c>
      <c r="AO6" s="10">
        <v>5356636.8472871091</v>
      </c>
      <c r="AP6" s="10">
        <v>5464997.8907766668</v>
      </c>
      <c r="AQ6" s="10">
        <v>2337055.5076871095</v>
      </c>
      <c r="AR6" s="20">
        <v>5719495.8363500014</v>
      </c>
      <c r="AS6" s="20">
        <v>3867129.6298123864</v>
      </c>
      <c r="AT6" s="20">
        <v>3928943.3442386459</v>
      </c>
      <c r="AU6" s="20">
        <v>3772510.6760136103</v>
      </c>
      <c r="AV6" s="20">
        <v>5686618.0659923861</v>
      </c>
      <c r="AW6" s="20">
        <v>2293522.3636836102</v>
      </c>
      <c r="AX6" s="20">
        <v>3444999.2373766666</v>
      </c>
      <c r="AY6" s="20">
        <v>527477.25086547853</v>
      </c>
      <c r="AZ6" s="20">
        <v>3709407.3623083695</v>
      </c>
      <c r="BA6" s="20">
        <v>5919562.6178317042</v>
      </c>
      <c r="BB6" s="20">
        <v>3655419.6339550368</v>
      </c>
      <c r="BC6" s="20">
        <v>5876774.6681157202</v>
      </c>
      <c r="BD6" s="10">
        <v>3655419.6339550358</v>
      </c>
      <c r="BE6" s="10">
        <v>441156.15714599611</v>
      </c>
      <c r="BF6" s="10">
        <v>3612631.6842390527</v>
      </c>
      <c r="BG6" s="5" t="s">
        <v>97</v>
      </c>
      <c r="BH6" s="20">
        <v>9045780.4151404444</v>
      </c>
      <c r="BI6" s="20">
        <v>9471198.3129171096</v>
      </c>
      <c r="BJ6" s="20">
        <v>9208129.1869833358</v>
      </c>
      <c r="BK6" s="20">
        <v>11428638.057603333</v>
      </c>
      <c r="BL6" s="20">
        <v>571554.79986044276</v>
      </c>
      <c r="BM6" s="20">
        <v>8896356.0077157207</v>
      </c>
    </row>
    <row r="7" spans="1:65" x14ac:dyDescent="0.25">
      <c r="A7" s="1">
        <v>6</v>
      </c>
      <c r="B7" s="7">
        <v>1</v>
      </c>
      <c r="C7" s="2">
        <f>VLOOKUP(B7,INDICE2!$A$3:$F$18,6)</f>
        <v>41</v>
      </c>
      <c r="D7" s="2">
        <f t="shared" si="0"/>
        <v>519</v>
      </c>
      <c r="E7" s="2">
        <f>VLOOKUP(B7,INDICE2!$A$3:$F$18,5)</f>
        <v>6671.3100069173179</v>
      </c>
      <c r="F7" s="8">
        <f t="shared" si="1"/>
        <v>32300.909577903651</v>
      </c>
      <c r="G7" s="10">
        <f t="shared" si="3"/>
        <v>273523.71028361004</v>
      </c>
      <c r="H7" s="20">
        <f t="shared" si="2"/>
        <v>6360718.7749776989</v>
      </c>
      <c r="I7" s="20">
        <f>IF(VLOOKUP(B7,INDICE2!$A$3:$C$55,2,FALSE)="P",1,0)+I6</f>
        <v>4</v>
      </c>
      <c r="J7" s="20">
        <f>IF(VLOOKUP(B7,INDICE2!$A$3:$C$55,2,FALSE)="I",1,0)+J6</f>
        <v>2</v>
      </c>
      <c r="K7" s="20" t="str">
        <f>VLOOKUP(B7,INDICE2!$A$3:$I$55,4,FALSE)</f>
        <v>P1</v>
      </c>
      <c r="L7" s="20"/>
      <c r="M7" s="20"/>
      <c r="N7" s="20"/>
      <c r="O7" s="20">
        <v>6132090.3389616674</v>
      </c>
      <c r="P7" s="20">
        <v>7046589.9611869436</v>
      </c>
      <c r="Q7" s="20">
        <v>9649285.3441293314</v>
      </c>
      <c r="R7" s="20">
        <v>3666619.4125923864</v>
      </c>
      <c r="S7" s="20">
        <v>7878565.2820780575</v>
      </c>
      <c r="T7" s="20">
        <v>6298905.0605514394</v>
      </c>
      <c r="U7" s="20">
        <v>3753484.9113033335</v>
      </c>
      <c r="V7" s="20">
        <v>3274079.2851733332</v>
      </c>
      <c r="W7" s="20">
        <v>10916354.661115721</v>
      </c>
      <c r="X7" s="20">
        <v>7214222.4080493301</v>
      </c>
      <c r="Y7" s="20">
        <v>7595562.7568310322</v>
      </c>
      <c r="Z7" s="20">
        <v>9427665.1689136103</v>
      </c>
      <c r="AA7" s="20">
        <v>3973020.8932336099</v>
      </c>
      <c r="AB7" s="20">
        <v>5919562.6178317042</v>
      </c>
      <c r="AC7" s="20">
        <v>4026464.2165954788</v>
      </c>
      <c r="AD7" s="20">
        <v>10916354.661115721</v>
      </c>
      <c r="AE7" s="20">
        <v>12802552.831784725</v>
      </c>
      <c r="AF7" s="20">
        <v>2337055.5076871091</v>
      </c>
      <c r="AG7" s="20">
        <v>11395760.287245722</v>
      </c>
      <c r="AH7" s="20">
        <v>6886710.9694123864</v>
      </c>
      <c r="AI7" s="10">
        <v>210420.39657836914</v>
      </c>
      <c r="AJ7" s="10">
        <v>441156.15714599646</v>
      </c>
      <c r="AK7" s="10">
        <v>8088985.6786564263</v>
      </c>
      <c r="AL7" s="10">
        <v>5668410.0265547242</v>
      </c>
      <c r="AM7" s="10">
        <v>6193831.5224028304</v>
      </c>
      <c r="AN7" s="10">
        <v>14415341.626845721</v>
      </c>
      <c r="AO7" s="10">
        <v>5356636.8472871091</v>
      </c>
      <c r="AP7" s="10">
        <v>5464997.8907766668</v>
      </c>
      <c r="AQ7" s="10">
        <v>2337055.5076871095</v>
      </c>
      <c r="AR7" s="20">
        <v>5719495.8363500014</v>
      </c>
      <c r="AS7" s="20">
        <v>3867129.6298123864</v>
      </c>
      <c r="AT7" s="20">
        <v>4183441.289811979</v>
      </c>
      <c r="AU7" s="20">
        <v>4027008.6215869435</v>
      </c>
      <c r="AV7" s="20">
        <v>9131617.3033690527</v>
      </c>
      <c r="AW7" s="20">
        <v>2461154.8105459963</v>
      </c>
      <c r="AX7" s="20">
        <v>3594423.6448013899</v>
      </c>
      <c r="AY7" s="20">
        <v>3972476.4882421461</v>
      </c>
      <c r="AZ7" s="20">
        <v>3709407.3623083695</v>
      </c>
      <c r="BA7" s="20">
        <v>5919562.6178317042</v>
      </c>
      <c r="BB7" s="20">
        <v>3823052.0808174228</v>
      </c>
      <c r="BC7" s="20">
        <v>7896773.3215157203</v>
      </c>
      <c r="BD7" s="10">
        <v>9364561.855208369</v>
      </c>
      <c r="BE7" s="10">
        <v>608788.60400838219</v>
      </c>
      <c r="BF7" s="10">
        <v>5632630.3376390524</v>
      </c>
      <c r="BG7" s="5" t="s">
        <v>97</v>
      </c>
      <c r="BH7" s="20">
        <v>9319304.1254240535</v>
      </c>
      <c r="BI7" s="20">
        <v>9471198.3129171096</v>
      </c>
      <c r="BJ7" s="20">
        <v>9375761.6338457223</v>
      </c>
      <c r="BK7" s="20">
        <v>11702161.767886944</v>
      </c>
      <c r="BL7" s="20">
        <v>781975.19643881195</v>
      </c>
      <c r="BM7" s="20">
        <v>8896356.0077157207</v>
      </c>
    </row>
    <row r="8" spans="1:65" x14ac:dyDescent="0.25">
      <c r="A8" s="1">
        <v>7</v>
      </c>
      <c r="B8" s="7">
        <v>16</v>
      </c>
      <c r="C8" s="2">
        <f>VLOOKUP(B8,INDICE2!$A$3:$F$18,6)</f>
        <v>223</v>
      </c>
      <c r="D8" s="2">
        <f t="shared" si="0"/>
        <v>560</v>
      </c>
      <c r="E8" s="2">
        <f>VLOOKUP(B8,INDICE2!$A$3:$F$18,5)</f>
        <v>15690.524510000001</v>
      </c>
      <c r="F8" s="8">
        <f t="shared" si="1"/>
        <v>38972.219584820967</v>
      </c>
      <c r="G8" s="10">
        <f t="shared" si="3"/>
        <v>3498986.9657300003</v>
      </c>
      <c r="H8" s="20">
        <f t="shared" si="2"/>
        <v>9859705.7407076992</v>
      </c>
      <c r="I8" s="20">
        <f>IF(VLOOKUP(B8,INDICE2!$A$3:$C$55,2,FALSE)="P",1,0)+I7</f>
        <v>5</v>
      </c>
      <c r="J8" s="20">
        <f>IF(VLOOKUP(B8,INDICE2!$A$3:$C$55,2,FALSE)="I",1,0)+J7</f>
        <v>2</v>
      </c>
      <c r="K8" s="20" t="str">
        <f>VLOOKUP(B8,INDICE2!$A$3:$I$55,4,FALSE)</f>
        <v>MSP5</v>
      </c>
      <c r="L8" s="20"/>
      <c r="M8" s="20"/>
      <c r="N8" s="20"/>
      <c r="O8" s="20">
        <v>6386588.284535001</v>
      </c>
      <c r="P8" s="20">
        <v>7046589.9611869436</v>
      </c>
      <c r="Q8" s="20">
        <v>13094284.581505999</v>
      </c>
      <c r="R8" s="20">
        <v>7111618.6499690525</v>
      </c>
      <c r="S8" s="20">
        <v>8152088.9923616676</v>
      </c>
      <c r="T8" s="20">
        <v>6298905.0605514394</v>
      </c>
      <c r="U8" s="20">
        <v>3902909.3187280567</v>
      </c>
      <c r="V8" s="20">
        <v>3441711.7320357193</v>
      </c>
      <c r="W8" s="20">
        <v>10916354.661115721</v>
      </c>
      <c r="X8" s="20">
        <v>7214222.4080493301</v>
      </c>
      <c r="Y8" s="20">
        <v>7595562.7568310322</v>
      </c>
      <c r="Z8" s="20">
        <v>9427665.1689136103</v>
      </c>
      <c r="AA8" s="20">
        <v>9682163.1144869439</v>
      </c>
      <c r="AB8" s="20">
        <v>9418549.5835617036</v>
      </c>
      <c r="AC8" s="20">
        <v>6046462.8699954785</v>
      </c>
      <c r="AD8" s="20">
        <v>11170852.606689055</v>
      </c>
      <c r="AE8" s="20">
        <v>13076076.542068336</v>
      </c>
      <c r="AF8" s="20">
        <v>5356636.8472871091</v>
      </c>
      <c r="AG8" s="20">
        <v>11395760.287245722</v>
      </c>
      <c r="AH8" s="20">
        <v>7036135.3768371101</v>
      </c>
      <c r="AI8" s="10">
        <v>3709407.3623083695</v>
      </c>
      <c r="AJ8" s="10">
        <v>6150298.3783993302</v>
      </c>
      <c r="AK8" s="10">
        <v>8362509.3889400363</v>
      </c>
      <c r="AL8" s="10">
        <v>9113409.2639313899</v>
      </c>
      <c r="AM8" s="10">
        <v>6404251.9189811992</v>
      </c>
      <c r="AN8" s="10">
        <v>14582974.073708108</v>
      </c>
      <c r="AO8" s="10">
        <v>5356636.8472871091</v>
      </c>
      <c r="AP8" s="10">
        <v>8963984.856506668</v>
      </c>
      <c r="AQ8" s="10">
        <v>8046197.7289404431</v>
      </c>
      <c r="AR8" s="20">
        <v>5719495.8363500014</v>
      </c>
      <c r="AS8" s="20">
        <v>4140653.3400959964</v>
      </c>
      <c r="AT8" s="20">
        <v>6203439.9432119792</v>
      </c>
      <c r="AU8" s="20">
        <v>4176433.0290116668</v>
      </c>
      <c r="AV8" s="20">
        <v>9131617.3033690527</v>
      </c>
      <c r="AW8" s="20">
        <v>2461154.8105459963</v>
      </c>
      <c r="AX8" s="20">
        <v>3867947.3550849999</v>
      </c>
      <c r="AY8" s="20">
        <v>3972476.4882421461</v>
      </c>
      <c r="AZ8" s="20">
        <v>3709407.3623083695</v>
      </c>
      <c r="BA8" s="20">
        <v>6087195.0646940898</v>
      </c>
      <c r="BB8" s="20">
        <v>3823052.0808174228</v>
      </c>
      <c r="BC8" s="20">
        <v>7896773.3215157203</v>
      </c>
      <c r="BD8" s="10">
        <v>9364561.855208369</v>
      </c>
      <c r="BE8" s="10">
        <v>608788.60400838219</v>
      </c>
      <c r="BF8" s="10">
        <v>5800262.784501439</v>
      </c>
      <c r="BG8" s="5" t="s">
        <v>97</v>
      </c>
      <c r="BH8" s="20">
        <v>9573802.0709973872</v>
      </c>
      <c r="BI8" s="20">
        <v>9471198.3129171096</v>
      </c>
      <c r="BJ8" s="20">
        <v>9375761.6338457223</v>
      </c>
      <c r="BK8" s="20">
        <v>11702161.767886944</v>
      </c>
      <c r="BL8" s="20">
        <v>3801556.5360388122</v>
      </c>
      <c r="BM8" s="20">
        <v>12395342.973445721</v>
      </c>
    </row>
    <row r="9" spans="1:65" x14ac:dyDescent="0.25">
      <c r="A9" s="1">
        <v>8</v>
      </c>
      <c r="B9" s="7">
        <v>10</v>
      </c>
      <c r="C9" s="2">
        <f>VLOOKUP(B9,INDICE2!$A$3:$F$18,6)</f>
        <v>203</v>
      </c>
      <c r="D9" s="2">
        <f t="shared" si="0"/>
        <v>783</v>
      </c>
      <c r="E9" s="2">
        <f>VLOOKUP(B9,INDICE2!$A$3:$F$18,5)</f>
        <v>0</v>
      </c>
      <c r="F9" s="8">
        <f t="shared" si="1"/>
        <v>54662.74409482097</v>
      </c>
      <c r="G9" s="10">
        <f t="shared" si="3"/>
        <v>0</v>
      </c>
      <c r="H9" s="20">
        <f t="shared" si="2"/>
        <v>9859705.7407076992</v>
      </c>
      <c r="I9" s="20">
        <f>IF(VLOOKUP(B9,INDICE2!$A$3:$C$55,2,FALSE)="P",1,0)+I8</f>
        <v>5</v>
      </c>
      <c r="J9" s="20">
        <f>IF(VLOOKUP(B9,INDICE2!$A$3:$C$55,2,FALSE)="I",1,0)+J8</f>
        <v>3</v>
      </c>
      <c r="K9" s="20" t="str">
        <f>VLOOKUP(B9,INDICE2!$A$3:$I$55,4,FALSE)</f>
        <v>MSI1</v>
      </c>
      <c r="L9" s="20"/>
      <c r="M9" s="20"/>
      <c r="N9" s="20"/>
      <c r="O9" s="20">
        <v>6386588.284535001</v>
      </c>
      <c r="P9" s="20">
        <v>12755732.182440277</v>
      </c>
      <c r="Q9" s="20">
        <v>13094284.581505999</v>
      </c>
      <c r="R9" s="20">
        <v>7385142.3602526626</v>
      </c>
      <c r="S9" s="20">
        <v>8406586.9379350003</v>
      </c>
      <c r="T9" s="20">
        <v>9743904.297928106</v>
      </c>
      <c r="U9" s="20">
        <v>4070541.7655904428</v>
      </c>
      <c r="V9" s="20">
        <v>6886710.9694123864</v>
      </c>
      <c r="W9" s="20">
        <v>14415341.626845721</v>
      </c>
      <c r="X9" s="20">
        <v>7214222.4080493301</v>
      </c>
      <c r="Y9" s="20">
        <v>7595562.7568310322</v>
      </c>
      <c r="Z9" s="20">
        <v>9427665.1689136103</v>
      </c>
      <c r="AA9" s="20">
        <v>9682163.1144869439</v>
      </c>
      <c r="AB9" s="20">
        <v>12863548.820938371</v>
      </c>
      <c r="AC9" s="20">
        <v>6046462.8699954785</v>
      </c>
      <c r="AD9" s="20">
        <v>11170852.606689055</v>
      </c>
      <c r="AE9" s="20">
        <v>13243708.988930723</v>
      </c>
      <c r="AF9" s="20">
        <v>5356636.8472871091</v>
      </c>
      <c r="AG9" s="20">
        <v>11395760.287245722</v>
      </c>
      <c r="AH9" s="20">
        <v>12745277.598090444</v>
      </c>
      <c r="AI9" s="10">
        <v>3963905.3078817027</v>
      </c>
      <c r="AJ9" s="10">
        <v>8170297.0317993304</v>
      </c>
      <c r="AK9" s="10">
        <v>8362509.3889400363</v>
      </c>
      <c r="AL9" s="10">
        <v>9113409.2639313899</v>
      </c>
      <c r="AM9" s="10">
        <v>6404251.9189811992</v>
      </c>
      <c r="AN9" s="10">
        <v>14582974.073708108</v>
      </c>
      <c r="AO9" s="10">
        <v>5611134.7928604428</v>
      </c>
      <c r="AP9" s="10">
        <v>14673127.077760002</v>
      </c>
      <c r="AQ9" s="10">
        <v>8300695.6745137768</v>
      </c>
      <c r="AR9" s="20">
        <v>5887128.2832123879</v>
      </c>
      <c r="AS9" s="20">
        <v>7639640.3058259971</v>
      </c>
      <c r="AT9" s="20">
        <v>9702426.9089419805</v>
      </c>
      <c r="AU9" s="20">
        <v>4344065.4758740533</v>
      </c>
      <c r="AV9" s="20">
        <v>14840759.524622386</v>
      </c>
      <c r="AW9" s="20">
        <v>5906154.0479226634</v>
      </c>
      <c r="AX9" s="20">
        <v>4035579.801947386</v>
      </c>
      <c r="AY9" s="20">
        <v>4246000.1985257566</v>
      </c>
      <c r="AZ9" s="20">
        <v>5729406.0157083692</v>
      </c>
      <c r="BA9" s="20">
        <v>6087195.0646940898</v>
      </c>
      <c r="BB9" s="20">
        <v>4096575.7911010329</v>
      </c>
      <c r="BC9" s="20">
        <v>8107193.7180940891</v>
      </c>
      <c r="BD9" s="10">
        <v>9513986.2626330927</v>
      </c>
      <c r="BE9" s="10">
        <v>608788.60400838219</v>
      </c>
      <c r="BF9" s="10">
        <v>5949687.1919261627</v>
      </c>
      <c r="BG9" s="5" t="s">
        <v>97</v>
      </c>
      <c r="BH9" s="20">
        <v>9573802.0709973872</v>
      </c>
      <c r="BI9" s="20">
        <v>9471198.3129171096</v>
      </c>
      <c r="BJ9" s="20">
        <v>12820760.871222388</v>
      </c>
      <c r="BK9" s="20">
        <v>11912582.164465314</v>
      </c>
      <c r="BL9" s="20">
        <v>3969188.9829011983</v>
      </c>
      <c r="BM9" s="20">
        <v>12605763.370024091</v>
      </c>
    </row>
    <row r="10" spans="1:65" x14ac:dyDescent="0.25">
      <c r="A10" s="1">
        <v>9</v>
      </c>
      <c r="B10" s="7">
        <v>15</v>
      </c>
      <c r="C10" s="2">
        <f>VLOOKUP(B10,INDICE2!$A$3:$F$18,6)</f>
        <v>190</v>
      </c>
      <c r="D10" s="2">
        <f t="shared" si="0"/>
        <v>986</v>
      </c>
      <c r="E10" s="2">
        <f>VLOOKUP(B10,INDICE2!$A$3:$F$18,5)</f>
        <v>10631.57186</v>
      </c>
      <c r="F10" s="8">
        <f t="shared" si="1"/>
        <v>54662.74409482097</v>
      </c>
      <c r="G10" s="10">
        <f t="shared" si="3"/>
        <v>2019998.6534</v>
      </c>
      <c r="H10" s="20">
        <f t="shared" si="2"/>
        <v>11879704.394107699</v>
      </c>
      <c r="I10" s="20">
        <f>IF(VLOOKUP(B10,INDICE2!$A$3:$C$55,2,FALSE)="P",1,0)+I9</f>
        <v>6</v>
      </c>
      <c r="J10" s="20">
        <f>IF(VLOOKUP(B10,INDICE2!$A$3:$C$55,2,FALSE)="I",1,0)+J9</f>
        <v>3</v>
      </c>
      <c r="K10" s="20" t="str">
        <f>VLOOKUP(B10,INDICE2!$A$3:$I$55,4,FALSE)</f>
        <v>MSP4</v>
      </c>
      <c r="L10" s="20"/>
      <c r="M10" s="20"/>
      <c r="N10" s="20"/>
      <c r="O10" s="20">
        <v>6554220.7313973866</v>
      </c>
      <c r="P10" s="20">
        <v>12755732.182440277</v>
      </c>
      <c r="Q10" s="20">
        <v>13094284.581505999</v>
      </c>
      <c r="R10" s="20">
        <v>7552774.8071150482</v>
      </c>
      <c r="S10" s="20">
        <v>11851586.175311666</v>
      </c>
      <c r="T10" s="20">
        <v>12763485.637528107</v>
      </c>
      <c r="U10" s="20">
        <v>4070541.7655904428</v>
      </c>
      <c r="V10" s="20">
        <v>8906709.6228123866</v>
      </c>
      <c r="W10" s="20">
        <v>14415341.626845721</v>
      </c>
      <c r="X10" s="20">
        <v>7214222.4080493301</v>
      </c>
      <c r="Y10" s="20">
        <v>7763195.2036934178</v>
      </c>
      <c r="Z10" s="20">
        <v>12447246.508513611</v>
      </c>
      <c r="AA10" s="20">
        <v>9849795.5613493305</v>
      </c>
      <c r="AB10" s="20">
        <v>12863548.820938371</v>
      </c>
      <c r="AC10" s="20">
        <v>11755605.091248812</v>
      </c>
      <c r="AD10" s="20">
        <v>11338485.053551441</v>
      </c>
      <c r="AE10" s="20">
        <v>15263707.642330723</v>
      </c>
      <c r="AF10" s="20">
        <v>5524269.2941494957</v>
      </c>
      <c r="AG10" s="20">
        <v>11650258.232819056</v>
      </c>
      <c r="AH10" s="20">
        <v>14765276.251490444</v>
      </c>
      <c r="AI10" s="10">
        <v>3963905.3078817027</v>
      </c>
      <c r="AJ10" s="10">
        <v>11189878.37139933</v>
      </c>
      <c r="AK10" s="10">
        <v>11861496.354670037</v>
      </c>
      <c r="AL10" s="10">
        <v>14822551.485184724</v>
      </c>
      <c r="AM10" s="10">
        <v>9903238.8847111985</v>
      </c>
      <c r="AN10" s="10">
        <v>14582974.073708108</v>
      </c>
      <c r="AO10" s="10">
        <v>5884658.5031440528</v>
      </c>
      <c r="AP10" s="10">
        <v>14673127.077760002</v>
      </c>
      <c r="AQ10" s="10">
        <v>8300695.6745137768</v>
      </c>
      <c r="AR10" s="20">
        <v>5887128.2832123879</v>
      </c>
      <c r="AS10" s="20">
        <v>13348782.527079331</v>
      </c>
      <c r="AT10" s="20">
        <v>9870059.355804367</v>
      </c>
      <c r="AU10" s="20">
        <v>10053207.697127387</v>
      </c>
      <c r="AV10" s="20">
        <v>14990183.93204711</v>
      </c>
      <c r="AW10" s="20">
        <v>8925735.3875226639</v>
      </c>
      <c r="AX10" s="20">
        <v>4035579.801947386</v>
      </c>
      <c r="AY10" s="20">
        <v>4246000.1985257566</v>
      </c>
      <c r="AZ10" s="20">
        <v>5878830.4231330929</v>
      </c>
      <c r="BA10" s="20">
        <v>6254827.5115564764</v>
      </c>
      <c r="BB10" s="20">
        <v>4096575.7911010329</v>
      </c>
      <c r="BC10" s="20">
        <v>8274826.1649564747</v>
      </c>
      <c r="BD10" s="10">
        <v>9768484.2082064264</v>
      </c>
      <c r="BE10" s="10">
        <v>6317930.8252617158</v>
      </c>
      <c r="BF10" s="10">
        <v>11658829.413179496</v>
      </c>
      <c r="BG10" s="5" t="s">
        <v>97</v>
      </c>
      <c r="BH10" s="20">
        <v>9573802.0709973872</v>
      </c>
      <c r="BI10" s="20">
        <v>9681618.7094954792</v>
      </c>
      <c r="BJ10" s="20">
        <v>12970185.278647112</v>
      </c>
      <c r="BK10" s="20">
        <v>11912582.164465314</v>
      </c>
      <c r="BL10" s="20">
        <v>9678331.2041545324</v>
      </c>
      <c r="BM10" s="20">
        <v>12605763.370024091</v>
      </c>
    </row>
    <row r="11" spans="1:65" x14ac:dyDescent="0.25">
      <c r="A11" s="1">
        <v>10</v>
      </c>
      <c r="B11" s="7">
        <v>8</v>
      </c>
      <c r="C11" s="2">
        <f>VLOOKUP(B11,INDICE2!$A$3:$F$18,6)</f>
        <v>35.5</v>
      </c>
      <c r="D11" s="2">
        <f t="shared" si="0"/>
        <v>1176</v>
      </c>
      <c r="E11" s="2">
        <f>VLOOKUP(B11,INDICE2!$A$3:$F$18,5)</f>
        <v>0</v>
      </c>
      <c r="F11" s="8">
        <f t="shared" si="1"/>
        <v>65294.315954820966</v>
      </c>
      <c r="G11" s="10">
        <f t="shared" si="3"/>
        <v>0</v>
      </c>
      <c r="H11" s="20">
        <f t="shared" si="2"/>
        <v>11879704.394107699</v>
      </c>
      <c r="I11" s="20">
        <f>IF(VLOOKUP(B11,INDICE2!$A$3:$C$55,2,FALSE)="P",1,0)+I10</f>
        <v>6</v>
      </c>
      <c r="J11" s="20">
        <f>IF(VLOOKUP(B11,INDICE2!$A$3:$C$55,2,FALSE)="I",1,0)+J10</f>
        <v>4</v>
      </c>
      <c r="K11" s="20" t="str">
        <f>VLOOKUP(B11,INDICE2!$A$3:$I$55,4,FALSE)</f>
        <v>P8</v>
      </c>
      <c r="L11" s="20"/>
      <c r="M11" s="20"/>
      <c r="N11" s="20"/>
      <c r="O11" s="20">
        <v>9573802.0709973872</v>
      </c>
      <c r="P11" s="20">
        <v>14775730.835840277</v>
      </c>
      <c r="Q11" s="20">
        <v>13261917.028368386</v>
      </c>
      <c r="R11" s="20">
        <v>13261917.028368382</v>
      </c>
      <c r="S11" s="20">
        <v>11851586.175311666</v>
      </c>
      <c r="T11" s="20">
        <v>12912910.04495283</v>
      </c>
      <c r="U11" s="20">
        <v>9779683.986843776</v>
      </c>
      <c r="V11" s="20">
        <v>9056134.0302371103</v>
      </c>
      <c r="W11" s="20">
        <v>14625762.023424091</v>
      </c>
      <c r="X11" s="20">
        <v>10659221.645425998</v>
      </c>
      <c r="Y11" s="20">
        <v>7912619.6111181416</v>
      </c>
      <c r="Z11" s="20">
        <v>12614878.955375997</v>
      </c>
      <c r="AA11" s="20">
        <v>9849795.5613493305</v>
      </c>
      <c r="AB11" s="20">
        <v>15883130.160538372</v>
      </c>
      <c r="AC11" s="20">
        <v>11923237.538111199</v>
      </c>
      <c r="AD11" s="20">
        <v>14837472.019281441</v>
      </c>
      <c r="AE11" s="20">
        <v>15431340.089193109</v>
      </c>
      <c r="AF11" s="20">
        <v>11233411.515402829</v>
      </c>
      <c r="AG11" s="20">
        <v>14669839.572419057</v>
      </c>
      <c r="AH11" s="20">
        <v>15038799.961774055</v>
      </c>
      <c r="AI11" s="10">
        <v>4237429.0181653127</v>
      </c>
      <c r="AJ11" s="10">
        <v>11400298.7679777</v>
      </c>
      <c r="AK11" s="10">
        <v>12115994.30024337</v>
      </c>
      <c r="AL11" s="10">
        <v>14822551.485184724</v>
      </c>
      <c r="AM11" s="10">
        <v>10157736.830284532</v>
      </c>
      <c r="AN11" s="10">
        <v>14582974.073708108</v>
      </c>
      <c r="AO11" s="10">
        <v>9329657.7405207194</v>
      </c>
      <c r="AP11" s="10">
        <v>14946650.788043611</v>
      </c>
      <c r="AQ11" s="10">
        <v>8468328.1213761624</v>
      </c>
      <c r="AR11" s="20">
        <v>8906709.6228123885</v>
      </c>
      <c r="AS11" s="20">
        <v>13348782.527079331</v>
      </c>
      <c r="AT11" s="20">
        <v>15579201.577057701</v>
      </c>
      <c r="AU11" s="20">
        <v>10053207.697127387</v>
      </c>
      <c r="AV11" s="20">
        <v>15263707.642330721</v>
      </c>
      <c r="AW11" s="20">
        <v>12424722.353252664</v>
      </c>
      <c r="AX11" s="20">
        <v>4290077.7475207197</v>
      </c>
      <c r="AY11" s="20">
        <v>4246000.1985257566</v>
      </c>
      <c r="AZ11" s="20">
        <v>6152354.133416703</v>
      </c>
      <c r="BA11" s="20">
        <v>6528351.2218400864</v>
      </c>
      <c r="BB11" s="20">
        <v>4096575.7911010329</v>
      </c>
      <c r="BC11" s="20">
        <v>8274826.1649564747</v>
      </c>
      <c r="BD11" s="10">
        <v>10042007.918490037</v>
      </c>
      <c r="BE11" s="10">
        <v>6572428.7708350495</v>
      </c>
      <c r="BF11" s="10">
        <v>11913327.35875283</v>
      </c>
      <c r="BG11" s="5" t="s">
        <v>97</v>
      </c>
      <c r="BH11" s="20">
        <v>9741434.5178597737</v>
      </c>
      <c r="BI11" s="20">
        <v>9681618.7094954792</v>
      </c>
      <c r="BJ11" s="20">
        <v>12970185.278647112</v>
      </c>
      <c r="BK11" s="20">
        <v>15411569.130195314</v>
      </c>
      <c r="BL11" s="20">
        <v>9678331.2041545324</v>
      </c>
      <c r="BM11" s="20">
        <v>14625762.023424091</v>
      </c>
    </row>
    <row r="12" spans="1:65" x14ac:dyDescent="0.25">
      <c r="A12" s="1">
        <v>11</v>
      </c>
      <c r="B12" s="7">
        <v>4</v>
      </c>
      <c r="C12" s="2">
        <f>VLOOKUP(B12,INDICE2!$A$3:$F$18,6)</f>
        <v>47</v>
      </c>
      <c r="D12" s="2">
        <f t="shared" si="0"/>
        <v>1211.5</v>
      </c>
      <c r="E12" s="2">
        <f>VLOOKUP(B12,INDICE2!$A$3:$F$18,5)</f>
        <v>3566.6478055826824</v>
      </c>
      <c r="F12" s="8">
        <f t="shared" si="1"/>
        <v>65294.315954820966</v>
      </c>
      <c r="G12" s="10">
        <f t="shared" si="3"/>
        <v>167632.44686238607</v>
      </c>
      <c r="H12" s="20">
        <f t="shared" si="2"/>
        <v>12047336.840970086</v>
      </c>
      <c r="I12" s="20">
        <f>IF(VLOOKUP(B12,INDICE2!$A$3:$C$55,2,FALSE)="P",1,0)+I11</f>
        <v>6</v>
      </c>
      <c r="J12" s="20">
        <f>IF(VLOOKUP(B12,INDICE2!$A$3:$C$55,2,FALSE)="I",1,0)+J11</f>
        <v>5</v>
      </c>
      <c r="K12" s="20" t="str">
        <f>VLOOKUP(B12,INDICE2!$A$3:$I$55,4,FALSE)</f>
        <v>P4</v>
      </c>
      <c r="L12" s="20"/>
      <c r="M12" s="20"/>
      <c r="N12" s="20"/>
      <c r="O12" s="20">
        <v>11593800.724397387</v>
      </c>
      <c r="P12" s="20">
        <v>14925155.243265001</v>
      </c>
      <c r="Q12" s="20">
        <v>13472337.424946755</v>
      </c>
      <c r="R12" s="20">
        <v>13261917.028368382</v>
      </c>
      <c r="S12" s="20">
        <v>12019218.622174053</v>
      </c>
      <c r="T12" s="20">
        <v>13123330.4415312</v>
      </c>
      <c r="U12" s="20">
        <v>10053207.697127387</v>
      </c>
      <c r="V12" s="20">
        <v>9223766.4770994969</v>
      </c>
      <c r="W12" s="20">
        <v>18070761.260800757</v>
      </c>
      <c r="X12" s="20">
        <v>10659221.645425998</v>
      </c>
      <c r="Y12" s="20">
        <v>7912619.6111181416</v>
      </c>
      <c r="Z12" s="20">
        <v>12825299.351954367</v>
      </c>
      <c r="AA12" s="20">
        <v>9849795.5613493305</v>
      </c>
      <c r="AB12" s="20">
        <v>16032554.567963095</v>
      </c>
      <c r="AC12" s="20">
        <v>11923237.538111199</v>
      </c>
      <c r="AD12" s="20">
        <v>15047892.415859811</v>
      </c>
      <c r="AE12" s="20">
        <v>15685838.034766443</v>
      </c>
      <c r="AF12" s="20">
        <v>14732398.48113283</v>
      </c>
      <c r="AG12" s="20">
        <v>14819263.97984378</v>
      </c>
      <c r="AH12" s="20">
        <v>15038799.961774055</v>
      </c>
      <c r="AI12" s="10">
        <v>4405061.4650276992</v>
      </c>
      <c r="AJ12" s="10">
        <v>11567931.214840086</v>
      </c>
      <c r="AK12" s="10">
        <v>15135575.639843371</v>
      </c>
      <c r="AL12" s="10">
        <v>15077049.430758057</v>
      </c>
      <c r="AM12" s="10">
        <v>10157736.830284532</v>
      </c>
      <c r="AN12" s="10">
        <v>14732398.481132831</v>
      </c>
      <c r="AO12" s="10">
        <v>9540078.1370990891</v>
      </c>
      <c r="AP12" s="10">
        <v>15201148.733616944</v>
      </c>
      <c r="AQ12" s="10">
        <v>11913327.358752828</v>
      </c>
      <c r="AR12" s="20">
        <v>14615851.844065722</v>
      </c>
      <c r="AS12" s="20">
        <v>13516414.973941717</v>
      </c>
      <c r="AT12" s="20">
        <v>15579201.577057701</v>
      </c>
      <c r="AU12" s="20">
        <v>12073206.350527387</v>
      </c>
      <c r="AV12" s="20">
        <v>15263707.642330721</v>
      </c>
      <c r="AW12" s="20">
        <v>12574146.760677388</v>
      </c>
      <c r="AX12" s="20">
        <v>6310076.4009207198</v>
      </c>
      <c r="AY12" s="20">
        <v>7265581.5381257571</v>
      </c>
      <c r="AZ12" s="20">
        <v>9597353.3707933687</v>
      </c>
      <c r="BA12" s="20">
        <v>10027338.187570088</v>
      </c>
      <c r="BB12" s="20">
        <v>4264208.2379634194</v>
      </c>
      <c r="BC12" s="20">
        <v>11719825.40233314</v>
      </c>
      <c r="BD12" s="10">
        <v>10042007.918490037</v>
      </c>
      <c r="BE12" s="10">
        <v>10071415.73656505</v>
      </c>
      <c r="BF12" s="10">
        <v>11913327.35875283</v>
      </c>
      <c r="BG12" s="5" t="s">
        <v>97</v>
      </c>
      <c r="BH12" s="20">
        <v>9741434.5178597737</v>
      </c>
      <c r="BI12" s="20">
        <v>11701617.362895479</v>
      </c>
      <c r="BJ12" s="20">
        <v>15989766.618247112</v>
      </c>
      <c r="BK12" s="20">
        <v>15560993.537620038</v>
      </c>
      <c r="BL12" s="20">
        <v>9678331.2041545324</v>
      </c>
      <c r="BM12" s="20">
        <v>14899285.7337077</v>
      </c>
    </row>
    <row r="13" spans="1:65" x14ac:dyDescent="0.25">
      <c r="A13" s="1">
        <v>12</v>
      </c>
      <c r="B13" s="7">
        <v>14</v>
      </c>
      <c r="C13" s="2">
        <f>VLOOKUP(B13,INDICE2!$A$3:$F$18,6)</f>
        <v>231.7</v>
      </c>
      <c r="D13" s="2">
        <f t="shared" si="0"/>
        <v>1258.5</v>
      </c>
      <c r="E13" s="2">
        <f>VLOOKUP(B13,INDICE2!$A$3:$F$18,5)</f>
        <v>0</v>
      </c>
      <c r="F13" s="8">
        <f t="shared" si="1"/>
        <v>68860.963760403654</v>
      </c>
      <c r="G13" s="10">
        <f t="shared" si="3"/>
        <v>0</v>
      </c>
      <c r="H13" s="20">
        <f t="shared" si="2"/>
        <v>12047336.840970086</v>
      </c>
      <c r="I13" s="20">
        <f>IF(VLOOKUP(B13,INDICE2!$A$3:$C$55,2,FALSE)="P",1,0)+I12</f>
        <v>6</v>
      </c>
      <c r="J13" s="20">
        <f>IF(VLOOKUP(B13,INDICE2!$A$3:$C$55,2,FALSE)="I",1,0)+J12</f>
        <v>6</v>
      </c>
      <c r="K13" s="20" t="str">
        <f>VLOOKUP(B13,INDICE2!$A$3:$I$55,4,FALSE)</f>
        <v>MSI3</v>
      </c>
      <c r="L13" s="20"/>
      <c r="M13" s="20"/>
      <c r="N13" s="20"/>
      <c r="O13" s="20">
        <v>11593800.724397387</v>
      </c>
      <c r="P13" s="20">
        <v>14925155.243265001</v>
      </c>
      <c r="Q13" s="20">
        <v>16491918.764546756</v>
      </c>
      <c r="R13" s="20">
        <v>13261917.028368382</v>
      </c>
      <c r="S13" s="20">
        <v>15518205.587904053</v>
      </c>
      <c r="T13" s="20">
        <v>13123330.4415312</v>
      </c>
      <c r="U13" s="20">
        <v>10263628.093705757</v>
      </c>
      <c r="V13" s="20">
        <v>9223766.4770994969</v>
      </c>
      <c r="W13" s="20">
        <v>18070761.260800757</v>
      </c>
      <c r="X13" s="20">
        <v>16368363.866679331</v>
      </c>
      <c r="Y13" s="20">
        <v>10932200.950718142</v>
      </c>
      <c r="Z13" s="20">
        <v>12825299.351954367</v>
      </c>
      <c r="AA13" s="20">
        <v>11869794.214749331</v>
      </c>
      <c r="AB13" s="20">
        <v>16200187.014825482</v>
      </c>
      <c r="AC13" s="20">
        <v>12196761.24839481</v>
      </c>
      <c r="AD13" s="20">
        <v>18492891.653236479</v>
      </c>
      <c r="AE13" s="20">
        <v>18705419.374366444</v>
      </c>
      <c r="AF13" s="20">
        <v>15005922.191416439</v>
      </c>
      <c r="AG13" s="20">
        <v>15029684.37642215</v>
      </c>
      <c r="AH13" s="20">
        <v>15249220.358352425</v>
      </c>
      <c r="AI13" s="10">
        <v>4572693.9118900858</v>
      </c>
      <c r="AJ13" s="10">
        <v>15012930.452216752</v>
      </c>
      <c r="AK13" s="10">
        <v>15135575.639843371</v>
      </c>
      <c r="AL13" s="10">
        <v>18096630.770358056</v>
      </c>
      <c r="AM13" s="10">
        <v>13177318.169884533</v>
      </c>
      <c r="AN13" s="10">
        <v>14732398.481132831</v>
      </c>
      <c r="AO13" s="10">
        <v>9540078.1370990891</v>
      </c>
      <c r="AP13" s="10">
        <v>15368781.180479331</v>
      </c>
      <c r="AQ13" s="10">
        <v>11913327.358752828</v>
      </c>
      <c r="AR13" s="20">
        <v>14889375.554349333</v>
      </c>
      <c r="AS13" s="20">
        <v>16535996.313541718</v>
      </c>
      <c r="AT13" s="20">
        <v>15579201.577057701</v>
      </c>
      <c r="AU13" s="20">
        <v>12240838.797389774</v>
      </c>
      <c r="AV13" s="20">
        <v>15263707.642330721</v>
      </c>
      <c r="AW13" s="20">
        <v>12741779.207539774</v>
      </c>
      <c r="AX13" s="20">
        <v>9329657.7405207194</v>
      </c>
      <c r="AY13" s="20">
        <v>7520079.4836990908</v>
      </c>
      <c r="AZ13" s="20">
        <v>12616934.710393369</v>
      </c>
      <c r="BA13" s="20">
        <v>10027338.187570088</v>
      </c>
      <c r="BB13" s="20">
        <v>7283789.5775634199</v>
      </c>
      <c r="BC13" s="20">
        <v>15218812.368063141</v>
      </c>
      <c r="BD13" s="10">
        <v>13540994.884220038</v>
      </c>
      <c r="BE13" s="10">
        <v>12091414.38996505</v>
      </c>
      <c r="BF13" s="10">
        <v>11913327.35875283</v>
      </c>
      <c r="BG13" s="5" t="s">
        <v>97</v>
      </c>
      <c r="BH13" s="20">
        <v>11761433.171259774</v>
      </c>
      <c r="BI13" s="20">
        <v>11869249.809757866</v>
      </c>
      <c r="BJ13" s="20">
        <v>18009765.271647111</v>
      </c>
      <c r="BK13" s="20">
        <v>15560993.537620038</v>
      </c>
      <c r="BL13" s="20">
        <v>9678331.2041545324</v>
      </c>
      <c r="BM13" s="20">
        <v>15066918.180570086</v>
      </c>
    </row>
    <row r="14" spans="1:65" x14ac:dyDescent="0.25">
      <c r="A14" s="1">
        <v>13</v>
      </c>
      <c r="B14" s="7">
        <v>13</v>
      </c>
      <c r="C14" s="2">
        <f>VLOOKUP(B14,INDICE2!$A$3:$F$18,6)</f>
        <v>184</v>
      </c>
      <c r="D14" s="2">
        <f t="shared" si="0"/>
        <v>1490.2</v>
      </c>
      <c r="E14" s="2">
        <f>VLOOKUP(B14,INDICE2!$A$3:$F$18,5)</f>
        <v>16410.76815</v>
      </c>
      <c r="F14" s="8">
        <f t="shared" si="1"/>
        <v>68860.963760403654</v>
      </c>
      <c r="G14" s="10">
        <f t="shared" si="3"/>
        <v>3019581.3396000001</v>
      </c>
      <c r="H14" s="20">
        <f t="shared" si="2"/>
        <v>15066918.180570086</v>
      </c>
      <c r="I14" s="20">
        <f>IF(VLOOKUP(B14,INDICE2!$A$3:$C$55,2,FALSE)="P",1,0)+I13</f>
        <v>7</v>
      </c>
      <c r="J14" s="20">
        <f>IF(VLOOKUP(B14,INDICE2!$A$3:$C$55,2,FALSE)="I",1,0)+J13</f>
        <v>6</v>
      </c>
      <c r="K14" s="20" t="str">
        <f>VLOOKUP(B14,INDICE2!$A$3:$I$55,4,FALSE)</f>
        <v>MSP3</v>
      </c>
      <c r="L14" s="20"/>
      <c r="M14" s="20"/>
      <c r="N14" s="20"/>
      <c r="O14" s="20">
        <v>15038799.961774055</v>
      </c>
      <c r="P14" s="20">
        <v>14925155.243265001</v>
      </c>
      <c r="Q14" s="20">
        <v>16491918.764546756</v>
      </c>
      <c r="R14" s="20">
        <v>13411341.435793106</v>
      </c>
      <c r="S14" s="20">
        <v>15518205.587904053</v>
      </c>
      <c r="T14" s="20">
        <v>15143329.0949312</v>
      </c>
      <c r="U14" s="20">
        <v>13708627.331082422</v>
      </c>
      <c r="V14" s="20">
        <v>9434186.8736778665</v>
      </c>
      <c r="W14" s="20">
        <v>18070761.260800757</v>
      </c>
      <c r="X14" s="20">
        <v>16535996.313541718</v>
      </c>
      <c r="Y14" s="20">
        <v>10932200.950718142</v>
      </c>
      <c r="Z14" s="20">
        <v>12992931.798816754</v>
      </c>
      <c r="AA14" s="20">
        <v>12019218.622174054</v>
      </c>
      <c r="AB14" s="20">
        <v>16200187.014825482</v>
      </c>
      <c r="AC14" s="20">
        <v>12196761.24839481</v>
      </c>
      <c r="AD14" s="20">
        <v>18766415.36352009</v>
      </c>
      <c r="AE14" s="20">
        <v>18705419.374366444</v>
      </c>
      <c r="AF14" s="20">
        <v>15005922.191416439</v>
      </c>
      <c r="AG14" s="20">
        <v>15197316.823284537</v>
      </c>
      <c r="AH14" s="20">
        <v>15249220.358352425</v>
      </c>
      <c r="AI14" s="10">
        <v>10281836.133143419</v>
      </c>
      <c r="AJ14" s="10">
        <v>15267428.397790086</v>
      </c>
      <c r="AK14" s="10">
        <v>15135575.639843371</v>
      </c>
      <c r="AL14" s="10">
        <v>18307051.166936424</v>
      </c>
      <c r="AM14" s="10">
        <v>15197316.823284533</v>
      </c>
      <c r="AN14" s="10">
        <v>14986896.426706165</v>
      </c>
      <c r="AO14" s="10">
        <v>15249220.358352423</v>
      </c>
      <c r="AP14" s="10">
        <v>15368781.180479331</v>
      </c>
      <c r="AQ14" s="10">
        <v>12123747.755331198</v>
      </c>
      <c r="AR14" s="20">
        <v>15038799.961774057</v>
      </c>
      <c r="AS14" s="20">
        <v>16685420.720966442</v>
      </c>
      <c r="AT14" s="20">
        <v>15728625.984482424</v>
      </c>
      <c r="AU14" s="20">
        <v>12451259.193968143</v>
      </c>
      <c r="AV14" s="20">
        <v>15518205.587904055</v>
      </c>
      <c r="AW14" s="20">
        <v>12952199.604118144</v>
      </c>
      <c r="AX14" s="20">
        <v>9329657.7405207194</v>
      </c>
      <c r="AY14" s="20">
        <v>11019066.449429091</v>
      </c>
      <c r="AZ14" s="20">
        <v>12616934.710393369</v>
      </c>
      <c r="BA14" s="20">
        <v>13472337.424946755</v>
      </c>
      <c r="BB14" s="20">
        <v>12992931.798816754</v>
      </c>
      <c r="BC14" s="20">
        <v>15492336.078346752</v>
      </c>
      <c r="BD14" s="10">
        <v>13540994.884220038</v>
      </c>
      <c r="BE14" s="10">
        <v>15110995.72956505</v>
      </c>
      <c r="BF14" s="10">
        <v>11913327.35875283</v>
      </c>
      <c r="BG14" s="5" t="s">
        <v>97</v>
      </c>
      <c r="BH14" s="20">
        <v>11971853.567838144</v>
      </c>
      <c r="BI14" s="20">
        <v>15368236.775487866</v>
      </c>
      <c r="BJ14" s="20">
        <v>18009765.271647111</v>
      </c>
      <c r="BK14" s="20">
        <v>15560993.537620038</v>
      </c>
      <c r="BL14" s="20">
        <v>13177318.169884533</v>
      </c>
      <c r="BM14" s="20">
        <v>18511917.417946752</v>
      </c>
    </row>
    <row r="15" spans="1:65" x14ac:dyDescent="0.25">
      <c r="A15" s="1">
        <v>14</v>
      </c>
      <c r="B15" s="7">
        <v>2</v>
      </c>
      <c r="C15" s="2">
        <f>VLOOKUP(B15,INDICE2!$A$3:$F$18,6)</f>
        <v>46</v>
      </c>
      <c r="D15" s="2">
        <f t="shared" si="0"/>
        <v>1674.2</v>
      </c>
      <c r="E15" s="2">
        <f>VLOOKUP(B15,INDICE2!$A$3:$F$18,5)</f>
        <v>3248.356683146159</v>
      </c>
      <c r="F15" s="8">
        <f t="shared" si="1"/>
        <v>85271.731910403658</v>
      </c>
      <c r="G15" s="10">
        <f t="shared" si="3"/>
        <v>149424.40742472332</v>
      </c>
      <c r="H15" s="20">
        <f t="shared" si="2"/>
        <v>15216342.58799481</v>
      </c>
      <c r="I15" s="20">
        <f>IF(VLOOKUP(B15,INDICE2!$A$3:$C$55,2,FALSE)="P",1,0)+I14</f>
        <v>8</v>
      </c>
      <c r="J15" s="20">
        <f>IF(VLOOKUP(B15,INDICE2!$A$3:$C$55,2,FALSE)="I",1,0)+J14</f>
        <v>6</v>
      </c>
      <c r="K15" s="20" t="str">
        <f>VLOOKUP(B15,INDICE2!$A$3:$I$55,4,FALSE)</f>
        <v>P2</v>
      </c>
      <c r="L15" s="20"/>
      <c r="M15" s="20"/>
      <c r="N15" s="20"/>
      <c r="O15" s="20">
        <v>15249220.358352425</v>
      </c>
      <c r="P15" s="20">
        <v>18370154.480641667</v>
      </c>
      <c r="Q15" s="20">
        <v>16641343.171971479</v>
      </c>
      <c r="R15" s="20">
        <v>15431340.089193106</v>
      </c>
      <c r="S15" s="20">
        <v>15518205.587904053</v>
      </c>
      <c r="T15" s="20">
        <v>18642316.0606612</v>
      </c>
      <c r="U15" s="20">
        <v>16728208.670682423</v>
      </c>
      <c r="V15" s="20">
        <v>15143329.0949312</v>
      </c>
      <c r="W15" s="20">
        <v>18220185.668225478</v>
      </c>
      <c r="X15" s="20">
        <v>16535996.313541718</v>
      </c>
      <c r="Y15" s="20">
        <v>16641343.171971476</v>
      </c>
      <c r="Z15" s="20">
        <v>15012930.452216754</v>
      </c>
      <c r="AA15" s="20">
        <v>15518205.587904055</v>
      </c>
      <c r="AB15" s="20">
        <v>18220185.668225482</v>
      </c>
      <c r="AC15" s="20">
        <v>15641760.485771477</v>
      </c>
      <c r="AD15" s="20">
        <v>18766415.36352009</v>
      </c>
      <c r="AE15" s="20">
        <v>18705419.374366444</v>
      </c>
      <c r="AF15" s="20">
        <v>18450921.428793106</v>
      </c>
      <c r="AG15" s="20">
        <v>15197316.823284537</v>
      </c>
      <c r="AH15" s="20">
        <v>15249220.358352425</v>
      </c>
      <c r="AI15" s="10">
        <v>10431260.540568143</v>
      </c>
      <c r="AJ15" s="10">
        <v>15416852.805214809</v>
      </c>
      <c r="AK15" s="10">
        <v>15135575.639843371</v>
      </c>
      <c r="AL15" s="10">
        <v>18474683.613798808</v>
      </c>
      <c r="AM15" s="10">
        <v>15197316.823284533</v>
      </c>
      <c r="AN15" s="10">
        <v>14986896.426706165</v>
      </c>
      <c r="AO15" s="10">
        <v>15416852.805214809</v>
      </c>
      <c r="AP15" s="10">
        <v>15579201.577057701</v>
      </c>
      <c r="AQ15" s="10">
        <v>12397271.465614807</v>
      </c>
      <c r="AR15" s="20">
        <v>18537786.927504055</v>
      </c>
      <c r="AS15" s="20">
        <v>18705419.37436644</v>
      </c>
      <c r="AT15" s="20">
        <v>15728625.984482424</v>
      </c>
      <c r="AU15" s="20">
        <v>12451259.193968143</v>
      </c>
      <c r="AV15" s="20">
        <v>15685838.034766441</v>
      </c>
      <c r="AW15" s="20">
        <v>13206697.549691478</v>
      </c>
      <c r="AX15" s="20">
        <v>15038799.961774053</v>
      </c>
      <c r="AY15" s="20">
        <v>11186698.896291478</v>
      </c>
      <c r="AZ15" s="20">
        <v>18326076.931646705</v>
      </c>
      <c r="BA15" s="20">
        <v>13726835.370520089</v>
      </c>
      <c r="BB15" s="20">
        <v>13142356.206241477</v>
      </c>
      <c r="BC15" s="20">
        <v>18511917.417946752</v>
      </c>
      <c r="BD15" s="10">
        <v>15560993.537620038</v>
      </c>
      <c r="BE15" s="10">
        <v>15110995.72956505</v>
      </c>
      <c r="BF15" s="10">
        <v>14932908.69835283</v>
      </c>
      <c r="BG15" s="5" t="s">
        <v>97</v>
      </c>
      <c r="BH15" s="20">
        <v>11971853.567838144</v>
      </c>
      <c r="BI15" s="20">
        <v>15641760.485771477</v>
      </c>
      <c r="BJ15" s="20">
        <v>18264263.217220444</v>
      </c>
      <c r="BK15" s="20">
        <v>15560993.537620038</v>
      </c>
      <c r="BL15" s="20">
        <v>16622317.4072612</v>
      </c>
      <c r="BM15" s="20">
        <v>18661341.825371474</v>
      </c>
    </row>
    <row r="16" spans="1:65" x14ac:dyDescent="0.25">
      <c r="A16" s="1">
        <v>15</v>
      </c>
      <c r="B16" s="7">
        <v>16</v>
      </c>
      <c r="C16" s="2">
        <f>VLOOKUP(B16,INDICE2!$A$3:$F$18,6)</f>
        <v>223</v>
      </c>
      <c r="D16" s="2">
        <f t="shared" si="0"/>
        <v>1720.2</v>
      </c>
      <c r="E16" s="2">
        <f>VLOOKUP(B16,INDICE2!$A$3:$F$18,5)</f>
        <v>15690.524510000001</v>
      </c>
      <c r="F16" s="8">
        <f t="shared" si="1"/>
        <v>88520.088593549823</v>
      </c>
      <c r="G16" s="10">
        <f t="shared" si="3"/>
        <v>3498986.9657300003</v>
      </c>
      <c r="H16" s="20">
        <f t="shared" si="2"/>
        <v>18715329.55372481</v>
      </c>
      <c r="I16" s="20">
        <f>IF(VLOOKUP(B16,INDICE2!$A$3:$C$55,2,FALSE)="P",1,0)+I15</f>
        <v>9</v>
      </c>
      <c r="J16" s="20">
        <f>IF(VLOOKUP(B16,INDICE2!$A$3:$C$55,2,FALSE)="I",1,0)+J15</f>
        <v>6</v>
      </c>
      <c r="K16" s="20" t="str">
        <f>VLOOKUP(B16,INDICE2!$A$3:$I$55,4,FALSE)</f>
        <v>MSP5</v>
      </c>
      <c r="L16" s="20"/>
      <c r="M16" s="20"/>
      <c r="N16" s="20"/>
      <c r="O16" s="20">
        <v>15249220.358352425</v>
      </c>
      <c r="P16" s="20">
        <v>18537786.927504051</v>
      </c>
      <c r="Q16" s="20">
        <v>16641343.171971479</v>
      </c>
      <c r="R16" s="20">
        <v>15641760.485771475</v>
      </c>
      <c r="S16" s="20">
        <v>15728625.984482422</v>
      </c>
      <c r="T16" s="20">
        <v>18915839.770944811</v>
      </c>
      <c r="U16" s="20">
        <v>16728208.670682423</v>
      </c>
      <c r="V16" s="20">
        <v>18642316.0606612</v>
      </c>
      <c r="W16" s="20">
        <v>18387818.115087863</v>
      </c>
      <c r="X16" s="20">
        <v>16746416.710120087</v>
      </c>
      <c r="Y16" s="20">
        <v>16895841.117544807</v>
      </c>
      <c r="Z16" s="20">
        <v>18511917.417946756</v>
      </c>
      <c r="AA16" s="20">
        <v>18537786.927504055</v>
      </c>
      <c r="AB16" s="20">
        <v>18493709.378509093</v>
      </c>
      <c r="AC16" s="20">
        <v>15896258.431344811</v>
      </c>
      <c r="AD16" s="20">
        <v>18766415.36352009</v>
      </c>
      <c r="AE16" s="20">
        <v>18915839.770944811</v>
      </c>
      <c r="AF16" s="20">
        <v>18661341.825371474</v>
      </c>
      <c r="AG16" s="20">
        <v>15470840.533568148</v>
      </c>
      <c r="AH16" s="20">
        <v>18748207.324082427</v>
      </c>
      <c r="AI16" s="10">
        <v>13450841.880168144</v>
      </c>
      <c r="AJ16" s="10">
        <v>15416852.805214809</v>
      </c>
      <c r="AK16" s="10">
        <v>15303208.086705757</v>
      </c>
      <c r="AL16" s="10">
        <v>18474683.613798808</v>
      </c>
      <c r="AM16" s="10">
        <v>15197316.823284533</v>
      </c>
      <c r="AN16" s="10">
        <v>15260420.136989776</v>
      </c>
      <c r="AO16" s="10">
        <v>15416852.805214809</v>
      </c>
      <c r="AP16" s="10">
        <v>15746834.023920087</v>
      </c>
      <c r="AQ16" s="10">
        <v>12397271.465614807</v>
      </c>
      <c r="AR16" s="20">
        <v>18748207.324082423</v>
      </c>
      <c r="AS16" s="20">
        <v>18915839.770944808</v>
      </c>
      <c r="AT16" s="20">
        <v>15728625.984482424</v>
      </c>
      <c r="AU16" s="20">
        <v>12451259.193968143</v>
      </c>
      <c r="AV16" s="20">
        <v>15685838.034766441</v>
      </c>
      <c r="AW16" s="20">
        <v>13206697.549691478</v>
      </c>
      <c r="AX16" s="20">
        <v>18537786.927504055</v>
      </c>
      <c r="AY16" s="20">
        <v>16895841.117544811</v>
      </c>
      <c r="AZ16" s="20">
        <v>18580574.877220038</v>
      </c>
      <c r="BA16" s="20">
        <v>15746834.023920089</v>
      </c>
      <c r="BB16" s="20">
        <v>16641343.171971478</v>
      </c>
      <c r="BC16" s="20">
        <v>18661341.825371474</v>
      </c>
      <c r="BD16" s="10">
        <v>15728625.984482424</v>
      </c>
      <c r="BE16" s="10">
        <v>15321416.12614342</v>
      </c>
      <c r="BF16" s="10">
        <v>18431895.664082833</v>
      </c>
      <c r="BG16" s="5" t="s">
        <v>97</v>
      </c>
      <c r="BH16" s="20">
        <v>11971853.567838144</v>
      </c>
      <c r="BI16" s="20">
        <v>15641760.485771477</v>
      </c>
      <c r="BJ16" s="20">
        <v>18431895.664082829</v>
      </c>
      <c r="BK16" s="20">
        <v>18580574.877220038</v>
      </c>
      <c r="BL16" s="20">
        <v>16895841.117544811</v>
      </c>
      <c r="BM16" s="20">
        <v>18661341.825371474</v>
      </c>
    </row>
    <row r="17" spans="1:65" x14ac:dyDescent="0.25">
      <c r="A17" s="1">
        <v>16</v>
      </c>
      <c r="B17" s="7">
        <v>4</v>
      </c>
      <c r="C17" s="2">
        <f>VLOOKUP(B17,INDICE2!$A$3:$F$18,6)</f>
        <v>47</v>
      </c>
      <c r="D17" s="2">
        <f t="shared" si="0"/>
        <v>1943.2</v>
      </c>
      <c r="E17" s="2">
        <f>VLOOKUP(B17,INDICE2!$A$3:$F$18,5)</f>
        <v>3566.6478055826824</v>
      </c>
      <c r="F17" s="8">
        <f t="shared" si="1"/>
        <v>104210.61310354983</v>
      </c>
      <c r="G17" s="10">
        <f t="shared" si="3"/>
        <v>167632.44686238607</v>
      </c>
      <c r="H17" s="20">
        <f t="shared" si="2"/>
        <v>18882962.000587195</v>
      </c>
      <c r="I17" s="20">
        <f>IF(VLOOKUP(B17,INDICE2!$A$3:$C$55,2,FALSE)="P",1,0)+I16</f>
        <v>9</v>
      </c>
      <c r="J17" s="20">
        <f>IF(VLOOKUP(B17,INDICE2!$A$3:$C$55,2,FALSE)="I",1,0)+J16</f>
        <v>7</v>
      </c>
      <c r="K17" s="20" t="str">
        <f>VLOOKUP(B17,INDICE2!$A$3:$I$55,4,FALSE)</f>
        <v>P4</v>
      </c>
      <c r="L17" s="20"/>
      <c r="M17" s="20"/>
      <c r="N17" s="20"/>
      <c r="O17" s="42">
        <v>18748207.324082427</v>
      </c>
      <c r="P17" s="42">
        <v>18748207.324082419</v>
      </c>
      <c r="Q17" s="42">
        <v>18661341.825371478</v>
      </c>
      <c r="R17" s="42">
        <v>18661341.825371474</v>
      </c>
      <c r="S17" s="42">
        <v>15896258.431344809</v>
      </c>
      <c r="T17" s="44">
        <v>18915839.770944811</v>
      </c>
      <c r="U17" s="42">
        <v>18748207.324082423</v>
      </c>
      <c r="V17" s="42">
        <v>18642316.0606612</v>
      </c>
      <c r="W17" s="42">
        <v>18642316.060661197</v>
      </c>
      <c r="X17" s="42">
        <v>18766415.363520086</v>
      </c>
      <c r="Y17" s="44">
        <v>18915839.770944808</v>
      </c>
      <c r="Z17" s="42">
        <v>18661341.825371478</v>
      </c>
      <c r="AA17" s="42">
        <v>18705419.37436644</v>
      </c>
      <c r="AB17" s="42">
        <v>18661341.825371478</v>
      </c>
      <c r="AC17" s="44">
        <v>18915839.770944811</v>
      </c>
      <c r="AD17" s="44">
        <v>18915839.770944811</v>
      </c>
      <c r="AE17" s="44">
        <v>18915839.770944811</v>
      </c>
      <c r="AF17" s="44">
        <v>18915839.770944808</v>
      </c>
      <c r="AG17" s="44">
        <v>18915839.770944815</v>
      </c>
      <c r="AH17" s="44">
        <v>18915839.770944811</v>
      </c>
      <c r="AI17" s="45">
        <v>15470840.533568144</v>
      </c>
      <c r="AJ17" s="45">
        <v>15416852.805214809</v>
      </c>
      <c r="AK17" s="45">
        <v>18748207.324082423</v>
      </c>
      <c r="AL17" s="45">
        <v>18642316.060661193</v>
      </c>
      <c r="AM17" s="45">
        <v>15470840.533568144</v>
      </c>
      <c r="AN17" s="45">
        <v>18705419.374366444</v>
      </c>
      <c r="AO17" s="45">
        <v>15416852.805214809</v>
      </c>
      <c r="AP17" s="45">
        <v>18766415.363520086</v>
      </c>
      <c r="AQ17" s="45">
        <v>15896258.431344807</v>
      </c>
      <c r="AR17" s="44">
        <v>18915839.770944808</v>
      </c>
      <c r="AS17" s="44">
        <v>18915839.770944808</v>
      </c>
      <c r="AT17" s="42">
        <v>15896258.431344811</v>
      </c>
      <c r="AU17" s="42">
        <v>15896258.431344811</v>
      </c>
      <c r="AV17" s="42">
        <v>15896258.431344811</v>
      </c>
      <c r="AW17" s="44">
        <v>18915839.770944811</v>
      </c>
      <c r="AX17" s="42">
        <v>18705419.37436644</v>
      </c>
      <c r="AY17" s="44">
        <v>18915839.770944811</v>
      </c>
      <c r="AZ17" s="42">
        <v>18748207.324082423</v>
      </c>
      <c r="BA17" s="42">
        <v>18766415.36352009</v>
      </c>
      <c r="BB17" s="42">
        <v>18661341.825371478</v>
      </c>
      <c r="BC17" s="44">
        <v>18915839.770944808</v>
      </c>
      <c r="BD17" s="45">
        <v>18748207.324082423</v>
      </c>
      <c r="BE17" s="45">
        <v>18766415.363520086</v>
      </c>
      <c r="BF17" s="45">
        <v>18642316.0606612</v>
      </c>
      <c r="BG17" s="43" t="s">
        <v>97</v>
      </c>
      <c r="BH17" s="42">
        <v>15416852.805214811</v>
      </c>
      <c r="BI17" s="42">
        <v>18661341.825371478</v>
      </c>
      <c r="BJ17" s="42">
        <v>18705419.37436644</v>
      </c>
      <c r="BK17" s="42">
        <v>18748207.324082423</v>
      </c>
      <c r="BL17" s="42">
        <v>16895841.117544811</v>
      </c>
      <c r="BM17" s="44">
        <v>18915839.770944808</v>
      </c>
    </row>
    <row r="18" spans="1:65" x14ac:dyDescent="0.25">
      <c r="A18" s="1"/>
      <c r="B18" s="7"/>
      <c r="C18" s="2"/>
      <c r="D18" s="2">
        <f t="shared" si="0"/>
        <v>1990.2</v>
      </c>
      <c r="E18" s="2"/>
      <c r="F18" s="8">
        <f t="shared" si="1"/>
        <v>107777.26090913251</v>
      </c>
      <c r="H18" s="31">
        <f t="shared" si="2"/>
        <v>18882962.000587195</v>
      </c>
    </row>
    <row r="20" spans="1:65" x14ac:dyDescent="0.25">
      <c r="AY20" s="12">
        <v>14</v>
      </c>
      <c r="BC20" s="48">
        <f>AY20/AY21</f>
        <v>0.28000000000000003</v>
      </c>
    </row>
    <row r="21" spans="1:65" x14ac:dyDescent="0.25">
      <c r="AY21" s="47">
        <v>50</v>
      </c>
    </row>
  </sheetData>
  <phoneticPr fontId="7" type="noConversion"/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Planilha1.GerarAleatorio">
                <anchor moveWithCells="1" sizeWithCells="1">
                  <from>
                    <xdr:col>3</xdr:col>
                    <xdr:colOff>1333500</xdr:colOff>
                    <xdr:row>20</xdr:row>
                    <xdr:rowOff>28575</xdr:rowOff>
                  </from>
                  <to>
                    <xdr:col>5</xdr:col>
                    <xdr:colOff>85725</xdr:colOff>
                    <xdr:row>21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>
    <tabColor rgb="FFFF0000"/>
  </sheetPr>
  <dimension ref="A1:Q20"/>
  <sheetViews>
    <sheetView workbookViewId="0">
      <selection activeCell="F33" sqref="F33"/>
    </sheetView>
  </sheetViews>
  <sheetFormatPr defaultRowHeight="15" x14ac:dyDescent="0.25"/>
  <cols>
    <col min="1" max="1" width="9.140625" style="12"/>
    <col min="2" max="2" width="11" style="12" customWidth="1"/>
    <col min="3" max="4" width="8.7109375" style="12" customWidth="1"/>
    <col min="5" max="6" width="11" style="12" customWidth="1"/>
    <col min="7" max="8" width="9.7109375" style="12" customWidth="1"/>
    <col min="9" max="9" width="11.85546875" style="12" customWidth="1"/>
    <col min="10" max="10" width="10.7109375" style="10" customWidth="1"/>
    <col min="11" max="13" width="11.42578125" style="12" customWidth="1"/>
    <col min="14" max="14" width="11.7109375" style="12" customWidth="1"/>
    <col min="15" max="16" width="8.7109375" style="12" customWidth="1"/>
    <col min="17" max="17" width="10.140625" style="12" customWidth="1"/>
    <col min="18" max="16384" width="9.140625" style="12"/>
  </cols>
  <sheetData>
    <row r="1" spans="1:17" ht="58.5" customHeight="1" x14ac:dyDescent="0.25">
      <c r="A1" s="3" t="s">
        <v>5</v>
      </c>
      <c r="B1" s="4" t="s">
        <v>40</v>
      </c>
      <c r="C1" s="4" t="s">
        <v>23</v>
      </c>
      <c r="D1" s="26" t="s">
        <v>41</v>
      </c>
      <c r="E1" s="4" t="s">
        <v>22</v>
      </c>
      <c r="F1" s="26" t="s">
        <v>44</v>
      </c>
      <c r="G1" s="4" t="s">
        <v>24</v>
      </c>
      <c r="H1" s="26" t="s">
        <v>42</v>
      </c>
      <c r="I1" s="4" t="s">
        <v>38</v>
      </c>
      <c r="J1" s="25" t="s">
        <v>39</v>
      </c>
      <c r="K1" s="4" t="s">
        <v>20</v>
      </c>
      <c r="L1" s="26" t="s">
        <v>43</v>
      </c>
      <c r="M1" s="26" t="s">
        <v>71</v>
      </c>
      <c r="N1" s="4" t="s">
        <v>25</v>
      </c>
      <c r="O1" s="4" t="s">
        <v>26</v>
      </c>
      <c r="P1" s="4" t="s">
        <v>2</v>
      </c>
      <c r="Q1" s="4" t="s">
        <v>6</v>
      </c>
    </row>
    <row r="2" spans="1:17" x14ac:dyDescent="0.25">
      <c r="A2" s="5">
        <v>1</v>
      </c>
      <c r="B2" s="18">
        <v>12</v>
      </c>
      <c r="C2" s="6">
        <f>VLOOKUP(B2,INDICE2!$A$3:$F$18,6)</f>
        <v>155</v>
      </c>
      <c r="D2" s="6">
        <f>VLOOKUP(A2,INDICE2!$A$3:$F$18,6)</f>
        <v>41</v>
      </c>
      <c r="E2" s="5">
        <f>0</f>
        <v>0</v>
      </c>
      <c r="F2" s="5">
        <f>0</f>
        <v>0</v>
      </c>
      <c r="G2" s="6">
        <f>VLOOKUP(B2,INDICE2!$A$3:$F$18,5)</f>
        <v>0</v>
      </c>
      <c r="H2" s="6">
        <f>VLOOKUP(A2,INDICE2!$A$3:$F$18,5)</f>
        <v>6671.3100069173179</v>
      </c>
      <c r="I2" s="19">
        <f>0</f>
        <v>0</v>
      </c>
      <c r="J2" s="20">
        <v>0</v>
      </c>
      <c r="K2" s="21">
        <f>(J2)</f>
        <v>0</v>
      </c>
      <c r="L2" s="21">
        <v>0</v>
      </c>
      <c r="M2" s="21">
        <f>L2</f>
        <v>0</v>
      </c>
      <c r="N2" s="13">
        <f>IF(VLOOKUP(B2,INDICE2!$A$3:$C$55,2,FALSE)="P",1,0)</f>
        <v>0</v>
      </c>
      <c r="O2" s="13">
        <f>IF(VLOOKUP(B2,INDICE2!$A$3:$C$55,2,FALSE)="I",1,0)</f>
        <v>1</v>
      </c>
      <c r="P2" s="13" t="str">
        <f>VLOOKUP(B2,INDICE2!$A$3:$I$55,4,FALSE)</f>
        <v>MSI2</v>
      </c>
      <c r="Q2" s="13" t="str">
        <f>VLOOKUP(A2,INDICE2!$A$3:$I$55,4,FALSE)</f>
        <v>P1</v>
      </c>
    </row>
    <row r="3" spans="1:17" x14ac:dyDescent="0.25">
      <c r="A3" s="5">
        <v>2</v>
      </c>
      <c r="B3" s="18">
        <v>14</v>
      </c>
      <c r="C3" s="6">
        <f>VLOOKUP(B3,INDICE2!$A$3:$F$18,6)</f>
        <v>231.7</v>
      </c>
      <c r="D3" s="6">
        <f>VLOOKUP(A3,INDICE2!$A$3:$F$18,6)</f>
        <v>46</v>
      </c>
      <c r="E3" s="6">
        <f>E2+C2</f>
        <v>155</v>
      </c>
      <c r="F3" s="6">
        <f>F2+D2</f>
        <v>41</v>
      </c>
      <c r="G3" s="6">
        <f>VLOOKUP(B3,INDICE2!$A$3:$F$18,5)</f>
        <v>0</v>
      </c>
      <c r="H3" s="6">
        <f>VLOOKUP(A3,INDICE2!$A$3:$F$18,5)</f>
        <v>3248.356683146159</v>
      </c>
      <c r="I3" s="19">
        <f>I2+G2</f>
        <v>0</v>
      </c>
      <c r="J3" s="20">
        <f>(E4-E3)*G3</f>
        <v>0</v>
      </c>
      <c r="K3" s="21">
        <f>(J3+K2)</f>
        <v>0</v>
      </c>
      <c r="L3" s="20">
        <f>(F4-F3)*H3</f>
        <v>149424.40742472332</v>
      </c>
      <c r="M3" s="21">
        <f>L3+M2</f>
        <v>149424.40742472332</v>
      </c>
      <c r="N3" s="13">
        <f>IF(VLOOKUP(B3,INDICE2!$A$3:$C$55,2,FALSE)="P",1,0)+N2</f>
        <v>0</v>
      </c>
      <c r="O3" s="13">
        <f>IF(VLOOKUP(B3,INDICE2!$A$3:$C$55,2,FALSE)="I",1,0)+O2</f>
        <v>2</v>
      </c>
      <c r="P3" s="13" t="str">
        <f>VLOOKUP(B3,INDICE2!$A$3:$I$55,4,FALSE)</f>
        <v>MSI3</v>
      </c>
      <c r="Q3" s="13" t="str">
        <f>VLOOKUP(A3,INDICE2!$A$3:$I$55,4,FALSE)</f>
        <v>P2</v>
      </c>
    </row>
    <row r="4" spans="1:17" x14ac:dyDescent="0.25">
      <c r="A4" s="5">
        <v>3</v>
      </c>
      <c r="B4" s="18">
        <v>6</v>
      </c>
      <c r="C4" s="6">
        <f>VLOOKUP(B4,INDICE2!$A$3:$F$18,6)</f>
        <v>34</v>
      </c>
      <c r="D4" s="6">
        <f>VLOOKUP(A4,INDICE2!$A$3:$F$18,6)</f>
        <v>47</v>
      </c>
      <c r="E4" s="6">
        <f t="shared" ref="E4:E18" si="0">E3+C3</f>
        <v>386.7</v>
      </c>
      <c r="F4" s="6">
        <f t="shared" ref="F4:F18" si="1">F3+D3</f>
        <v>87</v>
      </c>
      <c r="G4" s="6">
        <f>VLOOKUP(B4,INDICE2!$A$3:$F$18,5)</f>
        <v>0</v>
      </c>
      <c r="H4" s="6">
        <f>VLOOKUP(A4,INDICE2!$A$3:$F$18,5)</f>
        <v>3566.6478055826824</v>
      </c>
      <c r="I4" s="19">
        <f t="shared" ref="I4:I18" si="2">I3+G3</f>
        <v>0</v>
      </c>
      <c r="J4" s="20">
        <f>(E5-E4)*G4</f>
        <v>0</v>
      </c>
      <c r="K4" s="21">
        <f t="shared" ref="K4:K18" si="3">J4+K3</f>
        <v>0</v>
      </c>
      <c r="L4" s="20">
        <f t="shared" ref="L4:L18" si="4">(F5-F4)*H4</f>
        <v>167632.44686238607</v>
      </c>
      <c r="M4" s="21">
        <f t="shared" ref="M4:M18" si="5">L4+M3</f>
        <v>317056.8542871094</v>
      </c>
      <c r="N4" s="13">
        <f>IF(VLOOKUP(B4,INDICE2!$A$3:$C$55,2,FALSE)="P",1,0)+N3</f>
        <v>0</v>
      </c>
      <c r="O4" s="13">
        <f>IF(VLOOKUP(B4,INDICE2!$A$3:$C$55,2,FALSE)="I",1,0)+O3</f>
        <v>3</v>
      </c>
      <c r="P4" s="13" t="str">
        <f>VLOOKUP(B4,INDICE2!$A$3:$I$55,4,FALSE)</f>
        <v>P6</v>
      </c>
      <c r="Q4" s="13" t="str">
        <f>VLOOKUP(A4,INDICE2!$A$3:$I$55,4,FALSE)</f>
        <v>P3</v>
      </c>
    </row>
    <row r="5" spans="1:17" x14ac:dyDescent="0.25">
      <c r="A5" s="5">
        <v>4</v>
      </c>
      <c r="B5" s="18">
        <v>9</v>
      </c>
      <c r="C5" s="6">
        <f>VLOOKUP(B5,INDICE2!$A$3:$F$18,6)</f>
        <v>232</v>
      </c>
      <c r="D5" s="6">
        <f>VLOOKUP(A5,INDICE2!$A$3:$F$18,6)</f>
        <v>47</v>
      </c>
      <c r="E5" s="6">
        <f t="shared" si="0"/>
        <v>420.7</v>
      </c>
      <c r="F5" s="6">
        <f t="shared" si="1"/>
        <v>134</v>
      </c>
      <c r="G5" s="6">
        <f>VLOOKUP(B5,INDICE2!$A$3:$F$18,5)</f>
        <v>24608.371643333336</v>
      </c>
      <c r="H5" s="6">
        <f>VLOOKUP(A5,INDICE2!$A$3:$F$18,5)</f>
        <v>3566.6478055826824</v>
      </c>
      <c r="I5" s="19">
        <f t="shared" si="2"/>
        <v>0</v>
      </c>
      <c r="J5" s="20">
        <f t="shared" ref="J5:J17" si="6">(E6-E5)*G5</f>
        <v>5709142.2212533355</v>
      </c>
      <c r="K5" s="21">
        <f t="shared" si="3"/>
        <v>5709142.2212533355</v>
      </c>
      <c r="L5" s="20">
        <f t="shared" si="4"/>
        <v>167632.44686238607</v>
      </c>
      <c r="M5" s="21">
        <f t="shared" si="5"/>
        <v>484689.30114949547</v>
      </c>
      <c r="N5" s="13">
        <f>IF(VLOOKUP(B5,INDICE2!$A$3:$C$55,2,FALSE)="P",1,0)+N4</f>
        <v>1</v>
      </c>
      <c r="O5" s="13">
        <f>IF(VLOOKUP(B5,INDICE2!$A$3:$C$55,2,FALSE)="I",1,0)+O4</f>
        <v>3</v>
      </c>
      <c r="P5" s="13" t="str">
        <f>VLOOKUP(B5,INDICE2!$A$3:$I$55,4,FALSE)</f>
        <v>MSP1</v>
      </c>
      <c r="Q5" s="13" t="str">
        <f>VLOOKUP(A5,INDICE2!$A$3:$I$55,4,FALSE)</f>
        <v>P4</v>
      </c>
    </row>
    <row r="6" spans="1:17" x14ac:dyDescent="0.25">
      <c r="A6" s="5">
        <v>5</v>
      </c>
      <c r="B6" s="18">
        <v>2</v>
      </c>
      <c r="C6" s="6">
        <f>VLOOKUP(B6,INDICE2!$A$3:$F$18,6)</f>
        <v>46</v>
      </c>
      <c r="D6" s="6">
        <f>VLOOKUP(A6,INDICE2!$A$3:$F$18,6)</f>
        <v>51</v>
      </c>
      <c r="E6" s="6">
        <f t="shared" si="0"/>
        <v>652.70000000000005</v>
      </c>
      <c r="F6" s="6">
        <f t="shared" si="1"/>
        <v>181</v>
      </c>
      <c r="G6" s="6">
        <f>VLOOKUP(B6,INDICE2!$A$3:$F$18,5)</f>
        <v>3248.356683146159</v>
      </c>
      <c r="H6" s="6">
        <f>VLOOKUP(A6,INDICE2!$A$3:$F$18,5)</f>
        <v>4125.8901289876303</v>
      </c>
      <c r="I6" s="19">
        <f t="shared" si="2"/>
        <v>24608.371643333336</v>
      </c>
      <c r="J6" s="20">
        <f t="shared" si="6"/>
        <v>149424.40742472332</v>
      </c>
      <c r="K6" s="21">
        <f t="shared" si="3"/>
        <v>5858566.6286780592</v>
      </c>
      <c r="L6" s="20">
        <f t="shared" si="4"/>
        <v>210420.39657836914</v>
      </c>
      <c r="M6" s="21">
        <f t="shared" si="5"/>
        <v>695109.69772786461</v>
      </c>
      <c r="N6" s="13">
        <f>IF(VLOOKUP(B6,INDICE2!$A$3:$C$55,2,FALSE)="P",1,0)+N5</f>
        <v>2</v>
      </c>
      <c r="O6" s="13">
        <f>IF(VLOOKUP(B6,INDICE2!$A$3:$C$55,2,FALSE)="I",1,0)+O5</f>
        <v>3</v>
      </c>
      <c r="P6" s="13" t="str">
        <f>VLOOKUP(B6,INDICE2!$A$3:$I$55,4,FALSE)</f>
        <v>P2</v>
      </c>
      <c r="Q6" s="13" t="str">
        <f>VLOOKUP(A6,INDICE2!$A$3:$I$55,4,FALSE)</f>
        <v>P5</v>
      </c>
    </row>
    <row r="7" spans="1:17" x14ac:dyDescent="0.25">
      <c r="A7" s="5">
        <v>6</v>
      </c>
      <c r="B7" s="18">
        <v>1</v>
      </c>
      <c r="C7" s="6">
        <f>VLOOKUP(B7,INDICE2!$A$3:$F$18,6)</f>
        <v>41</v>
      </c>
      <c r="D7" s="6">
        <f>VLOOKUP(A7,INDICE2!$A$3:$F$18,6)</f>
        <v>34</v>
      </c>
      <c r="E7" s="6">
        <f t="shared" si="0"/>
        <v>698.7</v>
      </c>
      <c r="F7" s="6">
        <f t="shared" si="1"/>
        <v>232</v>
      </c>
      <c r="G7" s="6">
        <f>VLOOKUP(B7,INDICE2!$A$3:$F$18,5)</f>
        <v>6671.3100069173179</v>
      </c>
      <c r="H7" s="6">
        <f>VLOOKUP(A7,INDICE2!$A$3:$F$18,5)</f>
        <v>0</v>
      </c>
      <c r="I7" s="19">
        <f t="shared" si="2"/>
        <v>27856.728326479493</v>
      </c>
      <c r="J7" s="20">
        <f t="shared" si="6"/>
        <v>273523.71028361004</v>
      </c>
      <c r="K7" s="21">
        <f t="shared" si="3"/>
        <v>6132090.3389616692</v>
      </c>
      <c r="L7" s="20">
        <f t="shared" si="4"/>
        <v>0</v>
      </c>
      <c r="M7" s="21">
        <f t="shared" si="5"/>
        <v>695109.69772786461</v>
      </c>
      <c r="N7" s="13">
        <f>IF(VLOOKUP(B7,INDICE2!$A$3:$C$55,2,FALSE)="P",1,0)+N6</f>
        <v>3</v>
      </c>
      <c r="O7" s="13">
        <f>IF(VLOOKUP(B7,INDICE2!$A$3:$C$55,2,FALSE)="I",1,0)+O6</f>
        <v>3</v>
      </c>
      <c r="P7" s="13" t="str">
        <f>VLOOKUP(B7,INDICE2!$A$3:$I$55,4,FALSE)</f>
        <v>P1</v>
      </c>
      <c r="Q7" s="13" t="str">
        <f>VLOOKUP(A7,INDICE2!$A$3:$I$55,4,FALSE)</f>
        <v>P6</v>
      </c>
    </row>
    <row r="8" spans="1:17" x14ac:dyDescent="0.25">
      <c r="A8" s="5">
        <v>7</v>
      </c>
      <c r="B8" s="18">
        <v>5</v>
      </c>
      <c r="C8" s="6">
        <f>VLOOKUP(B8,INDICE2!$A$3:$F$18,6)</f>
        <v>51</v>
      </c>
      <c r="D8" s="6">
        <f>VLOOKUP(A8,INDICE2!$A$3:$F$18,6)</f>
        <v>58</v>
      </c>
      <c r="E8" s="6">
        <f t="shared" si="0"/>
        <v>739.7</v>
      </c>
      <c r="F8" s="6">
        <f t="shared" si="1"/>
        <v>266</v>
      </c>
      <c r="G8" s="6">
        <f>VLOOKUP(B8,INDICE2!$A$3:$F$18,5)</f>
        <v>4125.8901289876303</v>
      </c>
      <c r="H8" s="6">
        <f>VLOOKUP(A8,INDICE2!$A$3:$F$18,5)</f>
        <v>4387.8956133333331</v>
      </c>
      <c r="I8" s="19">
        <f t="shared" si="2"/>
        <v>34528.038333396813</v>
      </c>
      <c r="J8" s="20">
        <f t="shared" si="6"/>
        <v>210420.39657836914</v>
      </c>
      <c r="K8" s="21">
        <f t="shared" si="3"/>
        <v>6342510.735540038</v>
      </c>
      <c r="L8" s="20">
        <f t="shared" si="4"/>
        <v>254497.94557333333</v>
      </c>
      <c r="M8" s="21">
        <f t="shared" si="5"/>
        <v>949607.64330119791</v>
      </c>
      <c r="N8" s="13">
        <f>IF(VLOOKUP(B8,INDICE2!$A$3:$C$55,2,FALSE)="P",1,0)+N7</f>
        <v>4</v>
      </c>
      <c r="O8" s="13">
        <f>IF(VLOOKUP(B8,INDICE2!$A$3:$C$55,2,FALSE)="I",1,0)+O7</f>
        <v>3</v>
      </c>
      <c r="P8" s="13" t="str">
        <f>VLOOKUP(B8,INDICE2!$A$3:$I$55,4,FALSE)</f>
        <v>P5</v>
      </c>
      <c r="Q8" s="13" t="str">
        <f>VLOOKUP(A8,INDICE2!$A$3:$I$55,4,FALSE)</f>
        <v>P7</v>
      </c>
    </row>
    <row r="9" spans="1:17" x14ac:dyDescent="0.25">
      <c r="A9" s="5">
        <v>8</v>
      </c>
      <c r="B9" s="18">
        <v>13</v>
      </c>
      <c r="C9" s="6">
        <f>VLOOKUP(B9,INDICE2!$A$3:$F$18,6)</f>
        <v>184</v>
      </c>
      <c r="D9" s="6">
        <f>VLOOKUP(A9,INDICE2!$A$3:$F$18,6)</f>
        <v>35.5</v>
      </c>
      <c r="E9" s="6">
        <f t="shared" si="0"/>
        <v>790.7</v>
      </c>
      <c r="F9" s="6">
        <f t="shared" si="1"/>
        <v>324</v>
      </c>
      <c r="G9" s="6">
        <f>VLOOKUP(B9,INDICE2!$A$3:$F$18,5)</f>
        <v>16410.76815</v>
      </c>
      <c r="H9" s="6">
        <f>VLOOKUP(A9,INDICE2!$A$3:$F$18,5)</f>
        <v>0</v>
      </c>
      <c r="I9" s="19">
        <f t="shared" si="2"/>
        <v>38653.928462384443</v>
      </c>
      <c r="J9" s="20">
        <f t="shared" si="6"/>
        <v>3019581.3396000001</v>
      </c>
      <c r="K9" s="21">
        <f t="shared" si="3"/>
        <v>9362092.0751400385</v>
      </c>
      <c r="L9" s="20">
        <f t="shared" si="4"/>
        <v>0</v>
      </c>
      <c r="M9" s="21">
        <f t="shared" si="5"/>
        <v>949607.64330119791</v>
      </c>
      <c r="N9" s="13">
        <f>IF(VLOOKUP(B9,INDICE2!$A$3:$C$55,2,FALSE)="P",1,0)+N8</f>
        <v>5</v>
      </c>
      <c r="O9" s="13">
        <f>IF(VLOOKUP(B9,INDICE2!$A$3:$C$55,2,FALSE)="I",1,0)+O8</f>
        <v>3</v>
      </c>
      <c r="P9" s="13" t="str">
        <f>VLOOKUP(B9,INDICE2!$A$3:$I$55,4,FALSE)</f>
        <v>MSP3</v>
      </c>
      <c r="Q9" s="13" t="str">
        <f>VLOOKUP(A9,INDICE2!$A$3:$I$55,4,FALSE)</f>
        <v>P8</v>
      </c>
    </row>
    <row r="10" spans="1:17" x14ac:dyDescent="0.25">
      <c r="A10" s="5">
        <v>9</v>
      </c>
      <c r="B10" s="18">
        <v>4</v>
      </c>
      <c r="C10" s="6">
        <f>VLOOKUP(B10,INDICE2!$A$3:$F$18,6)</f>
        <v>47</v>
      </c>
      <c r="D10" s="6">
        <f>VLOOKUP(A10,INDICE2!$A$3:$F$18,6)</f>
        <v>232</v>
      </c>
      <c r="E10" s="6">
        <f t="shared" si="0"/>
        <v>974.7</v>
      </c>
      <c r="F10" s="6">
        <f t="shared" si="1"/>
        <v>359.5</v>
      </c>
      <c r="G10" s="6">
        <f>VLOOKUP(B10,INDICE2!$A$3:$F$18,5)</f>
        <v>3566.6478055826824</v>
      </c>
      <c r="H10" s="6">
        <f>VLOOKUP(A10,INDICE2!$A$3:$F$18,5)</f>
        <v>24608.371643333336</v>
      </c>
      <c r="I10" s="19">
        <f t="shared" si="2"/>
        <v>55064.696612384447</v>
      </c>
      <c r="J10" s="20">
        <f t="shared" si="6"/>
        <v>167632.44686238607</v>
      </c>
      <c r="K10" s="21">
        <f t="shared" si="3"/>
        <v>9529724.522002425</v>
      </c>
      <c r="L10" s="20">
        <f t="shared" si="4"/>
        <v>5709142.2212533336</v>
      </c>
      <c r="M10" s="21">
        <f t="shared" si="5"/>
        <v>6658749.8645545319</v>
      </c>
      <c r="N10" s="13">
        <f>IF(VLOOKUP(B10,INDICE2!$A$3:$C$55,2,FALSE)="P",1,0)+N9</f>
        <v>5</v>
      </c>
      <c r="O10" s="13">
        <f>IF(VLOOKUP(B10,INDICE2!$A$3:$C$55,2,FALSE)="I",1,0)+O9</f>
        <v>4</v>
      </c>
      <c r="P10" s="13" t="str">
        <f>VLOOKUP(B10,INDICE2!$A$3:$I$55,4,FALSE)</f>
        <v>P4</v>
      </c>
      <c r="Q10" s="13" t="str">
        <f>VLOOKUP(A10,INDICE2!$A$3:$I$55,4,FALSE)</f>
        <v>MSP1</v>
      </c>
    </row>
    <row r="11" spans="1:17" x14ac:dyDescent="0.25">
      <c r="A11" s="5">
        <v>10</v>
      </c>
      <c r="B11" s="18">
        <v>11</v>
      </c>
      <c r="C11" s="6">
        <f>VLOOKUP(B11,INDICE2!$A$3:$F$18,6)</f>
        <v>199</v>
      </c>
      <c r="D11" s="6">
        <f>VLOOKUP(A11,INDICE2!$A$3:$F$18,6)</f>
        <v>203</v>
      </c>
      <c r="E11" s="6">
        <f t="shared" si="0"/>
        <v>1021.7</v>
      </c>
      <c r="F11" s="6">
        <f t="shared" si="1"/>
        <v>591.5</v>
      </c>
      <c r="G11" s="6">
        <f>VLOOKUP(B11,INDICE2!$A$3:$F$18,5)</f>
        <v>17311.553956666667</v>
      </c>
      <c r="H11" s="6">
        <f>VLOOKUP(A11,INDICE2!$A$3:$F$18,5)</f>
        <v>0</v>
      </c>
      <c r="I11" s="19">
        <f t="shared" si="2"/>
        <v>58631.344417967128</v>
      </c>
      <c r="J11" s="20">
        <f t="shared" si="6"/>
        <v>3444999.2373766666</v>
      </c>
      <c r="K11" s="21">
        <f t="shared" si="3"/>
        <v>12974723.759379093</v>
      </c>
      <c r="L11" s="20">
        <f t="shared" si="4"/>
        <v>0</v>
      </c>
      <c r="M11" s="21">
        <f t="shared" si="5"/>
        <v>6658749.8645545319</v>
      </c>
      <c r="N11" s="13">
        <f>IF(VLOOKUP(B11,INDICE2!$A$3:$C$55,2,FALSE)="P",1,0)+N10</f>
        <v>6</v>
      </c>
      <c r="O11" s="13">
        <f>IF(VLOOKUP(B11,INDICE2!$A$3:$C$55,2,FALSE)="I",1,0)+O10</f>
        <v>4</v>
      </c>
      <c r="P11" s="13" t="str">
        <f>VLOOKUP(B11,INDICE2!$A$3:$I$55,4,FALSE)</f>
        <v>MSP2</v>
      </c>
      <c r="Q11" s="13" t="str">
        <f>VLOOKUP(A11,INDICE2!$A$3:$I$55,4,FALSE)</f>
        <v>MSI1</v>
      </c>
    </row>
    <row r="12" spans="1:17" x14ac:dyDescent="0.25">
      <c r="A12" s="5">
        <v>11</v>
      </c>
      <c r="B12" s="18">
        <v>3</v>
      </c>
      <c r="C12" s="6">
        <f>VLOOKUP(B12,INDICE2!$A$3:$F$18,6)</f>
        <v>47</v>
      </c>
      <c r="D12" s="6">
        <f>VLOOKUP(A12,INDICE2!$A$3:$F$18,6)</f>
        <v>199</v>
      </c>
      <c r="E12" s="6">
        <f t="shared" si="0"/>
        <v>1220.7</v>
      </c>
      <c r="F12" s="6">
        <f t="shared" si="1"/>
        <v>794.5</v>
      </c>
      <c r="G12" s="6">
        <f>VLOOKUP(B12,INDICE2!$A$3:$F$18,5)</f>
        <v>3566.6478055826824</v>
      </c>
      <c r="H12" s="6">
        <f>VLOOKUP(A12,INDICE2!$A$3:$F$18,5)</f>
        <v>17311.553956666667</v>
      </c>
      <c r="I12" s="19">
        <f t="shared" si="2"/>
        <v>75942.898374633791</v>
      </c>
      <c r="J12" s="20">
        <f t="shared" si="6"/>
        <v>167632.44686238607</v>
      </c>
      <c r="K12" s="21">
        <f t="shared" si="3"/>
        <v>13142356.206241479</v>
      </c>
      <c r="L12" s="20">
        <f t="shared" si="4"/>
        <v>3444999.2373766666</v>
      </c>
      <c r="M12" s="21">
        <f t="shared" si="5"/>
        <v>10103749.101931199</v>
      </c>
      <c r="N12" s="13">
        <f>IF(VLOOKUP(B12,INDICE2!$A$3:$C$55,2,FALSE)="P",1,0)+N11</f>
        <v>7</v>
      </c>
      <c r="O12" s="13">
        <f>IF(VLOOKUP(B12,INDICE2!$A$3:$C$55,2,FALSE)="I",1,0)+O11</f>
        <v>4</v>
      </c>
      <c r="P12" s="13" t="str">
        <f>VLOOKUP(B12,INDICE2!$A$3:$I$55,4,FALSE)</f>
        <v>P3</v>
      </c>
      <c r="Q12" s="13" t="str">
        <f>VLOOKUP(A12,INDICE2!$A$3:$I$55,4,FALSE)</f>
        <v>MSP2</v>
      </c>
    </row>
    <row r="13" spans="1:17" x14ac:dyDescent="0.25">
      <c r="A13" s="5">
        <v>12</v>
      </c>
      <c r="B13" s="18">
        <v>8</v>
      </c>
      <c r="C13" s="6">
        <f>VLOOKUP(B13,INDICE2!$A$3:$F$18,6)</f>
        <v>35.5</v>
      </c>
      <c r="D13" s="6">
        <f>VLOOKUP(A13,INDICE2!$A$3:$F$18,6)</f>
        <v>155</v>
      </c>
      <c r="E13" s="6">
        <f t="shared" si="0"/>
        <v>1267.7</v>
      </c>
      <c r="F13" s="6">
        <f t="shared" si="1"/>
        <v>993.5</v>
      </c>
      <c r="G13" s="6">
        <f>VLOOKUP(B13,INDICE2!$A$3:$F$18,5)</f>
        <v>0</v>
      </c>
      <c r="H13" s="6">
        <f>VLOOKUP(A13,INDICE2!$A$3:$F$18,5)</f>
        <v>0</v>
      </c>
      <c r="I13" s="19">
        <f t="shared" si="2"/>
        <v>79509.546180216479</v>
      </c>
      <c r="J13" s="20">
        <f t="shared" si="6"/>
        <v>0</v>
      </c>
      <c r="K13" s="21">
        <f t="shared" si="3"/>
        <v>13142356.206241479</v>
      </c>
      <c r="L13" s="20">
        <f t="shared" si="4"/>
        <v>0</v>
      </c>
      <c r="M13" s="21">
        <f t="shared" si="5"/>
        <v>10103749.101931199</v>
      </c>
      <c r="N13" s="13">
        <f>IF(VLOOKUP(B13,INDICE2!$A$3:$C$55,2,FALSE)="P",1,0)+N12</f>
        <v>7</v>
      </c>
      <c r="O13" s="13">
        <f>IF(VLOOKUP(B13,INDICE2!$A$3:$C$55,2,FALSE)="I",1,0)+O12</f>
        <v>5</v>
      </c>
      <c r="P13" s="13" t="str">
        <f>VLOOKUP(B13,INDICE2!$A$3:$I$55,4,FALSE)</f>
        <v>P8</v>
      </c>
      <c r="Q13" s="13" t="str">
        <f>VLOOKUP(A13,INDICE2!$A$3:$I$55,4,FALSE)</f>
        <v>MSI2</v>
      </c>
    </row>
    <row r="14" spans="1:17" x14ac:dyDescent="0.25">
      <c r="A14" s="5">
        <v>13</v>
      </c>
      <c r="B14" s="18">
        <v>7</v>
      </c>
      <c r="C14" s="6">
        <f>VLOOKUP(B14,INDICE2!$A$3:$F$18,6)</f>
        <v>58</v>
      </c>
      <c r="D14" s="6">
        <f>VLOOKUP(A14,INDICE2!$A$3:$F$18,6)</f>
        <v>184</v>
      </c>
      <c r="E14" s="6">
        <f t="shared" si="0"/>
        <v>1303.2</v>
      </c>
      <c r="F14" s="6">
        <f t="shared" si="1"/>
        <v>1148.5</v>
      </c>
      <c r="G14" s="6">
        <f>VLOOKUP(B14,INDICE2!$A$3:$F$18,5)</f>
        <v>4387.8956133333331</v>
      </c>
      <c r="H14" s="6">
        <f>VLOOKUP(A14,INDICE2!$A$3:$F$18,5)</f>
        <v>16410.76815</v>
      </c>
      <c r="I14" s="19">
        <f t="shared" si="2"/>
        <v>79509.546180216479</v>
      </c>
      <c r="J14" s="20">
        <f t="shared" si="6"/>
        <v>254497.94557333333</v>
      </c>
      <c r="K14" s="21">
        <f t="shared" si="3"/>
        <v>13396854.151814813</v>
      </c>
      <c r="L14" s="20">
        <f t="shared" si="4"/>
        <v>3019581.3396000001</v>
      </c>
      <c r="M14" s="21">
        <f t="shared" si="5"/>
        <v>13123330.4415312</v>
      </c>
      <c r="N14" s="13">
        <f>IF(VLOOKUP(B14,INDICE2!$A$3:$C$55,2,FALSE)="P",1,0)+N13</f>
        <v>8</v>
      </c>
      <c r="O14" s="13">
        <f>IF(VLOOKUP(B14,INDICE2!$A$3:$C$55,2,FALSE)="I",1,0)+O13</f>
        <v>5</v>
      </c>
      <c r="P14" s="13" t="str">
        <f>VLOOKUP(B14,INDICE2!$A$3:$I$55,4,FALSE)</f>
        <v>P7</v>
      </c>
      <c r="Q14" s="13" t="str">
        <f>VLOOKUP(A14,INDICE2!$A$3:$I$55,4,FALSE)</f>
        <v>MSP3</v>
      </c>
    </row>
    <row r="15" spans="1:17" x14ac:dyDescent="0.25">
      <c r="A15" s="5">
        <v>14</v>
      </c>
      <c r="B15" s="18">
        <v>10</v>
      </c>
      <c r="C15" s="6">
        <f>VLOOKUP(B15,INDICE2!$A$3:$F$18,6)</f>
        <v>203</v>
      </c>
      <c r="D15" s="6">
        <f>VLOOKUP(A15,INDICE2!$A$3:$F$18,6)</f>
        <v>231.7</v>
      </c>
      <c r="E15" s="6">
        <f t="shared" si="0"/>
        <v>1361.2</v>
      </c>
      <c r="F15" s="6">
        <f t="shared" si="1"/>
        <v>1332.5</v>
      </c>
      <c r="G15" s="6">
        <f>VLOOKUP(B15,INDICE2!$A$3:$F$18,5)</f>
        <v>0</v>
      </c>
      <c r="H15" s="6">
        <f>VLOOKUP(A15,INDICE2!$A$3:$F$18,5)</f>
        <v>0</v>
      </c>
      <c r="I15" s="19">
        <f t="shared" si="2"/>
        <v>83897.441793549806</v>
      </c>
      <c r="J15" s="20">
        <f t="shared" si="6"/>
        <v>0</v>
      </c>
      <c r="K15" s="21">
        <f t="shared" si="3"/>
        <v>13396854.151814813</v>
      </c>
      <c r="L15" s="20">
        <f t="shared" si="4"/>
        <v>0</v>
      </c>
      <c r="M15" s="21">
        <f t="shared" si="5"/>
        <v>13123330.4415312</v>
      </c>
      <c r="N15" s="13">
        <f>IF(VLOOKUP(B15,INDICE2!$A$3:$C$55,2,FALSE)="P",1,0)+N14</f>
        <v>8</v>
      </c>
      <c r="O15" s="13">
        <f>IF(VLOOKUP(B15,INDICE2!$A$3:$C$55,2,FALSE)="I",1,0)+O14</f>
        <v>6</v>
      </c>
      <c r="P15" s="13" t="str">
        <f>VLOOKUP(B15,INDICE2!$A$3:$I$55,4,FALSE)</f>
        <v>MSI1</v>
      </c>
      <c r="Q15" s="13" t="str">
        <f>VLOOKUP(A15,INDICE2!$A$3:$I$55,4,FALSE)</f>
        <v>MSI3</v>
      </c>
    </row>
    <row r="16" spans="1:17" x14ac:dyDescent="0.25">
      <c r="A16" s="5">
        <v>15</v>
      </c>
      <c r="B16" s="18">
        <v>16</v>
      </c>
      <c r="C16" s="6">
        <f>VLOOKUP(B16,INDICE2!$A$3:$F$18,6)</f>
        <v>223</v>
      </c>
      <c r="D16" s="6">
        <f>VLOOKUP(A16,INDICE2!$A$3:$F$18,6)</f>
        <v>190</v>
      </c>
      <c r="E16" s="6">
        <f t="shared" si="0"/>
        <v>1564.2</v>
      </c>
      <c r="F16" s="6">
        <f t="shared" si="1"/>
        <v>1564.2</v>
      </c>
      <c r="G16" s="6">
        <f>VLOOKUP(B16,INDICE2!$A$3:$F$18,5)</f>
        <v>15690.524510000001</v>
      </c>
      <c r="H16" s="6">
        <f>VLOOKUP(A16,INDICE2!$A$3:$F$18,5)</f>
        <v>10631.57186</v>
      </c>
      <c r="I16" s="19">
        <f t="shared" si="2"/>
        <v>83897.441793549806</v>
      </c>
      <c r="J16" s="20">
        <f t="shared" si="6"/>
        <v>3498986.9657300003</v>
      </c>
      <c r="K16" s="21">
        <f t="shared" si="3"/>
        <v>16895841.117544815</v>
      </c>
      <c r="L16" s="20">
        <f t="shared" si="4"/>
        <v>2019998.6534</v>
      </c>
      <c r="M16" s="21">
        <f t="shared" si="5"/>
        <v>15143329.0949312</v>
      </c>
      <c r="N16" s="13">
        <f>IF(VLOOKUP(B16,INDICE2!$A$3:$C$55,2,FALSE)="P",1,0)+N15</f>
        <v>9</v>
      </c>
      <c r="O16" s="13">
        <f>IF(VLOOKUP(B16,INDICE2!$A$3:$C$55,2,FALSE)="I",1,0)+O15</f>
        <v>6</v>
      </c>
      <c r="P16" s="13" t="str">
        <f>VLOOKUP(B16,INDICE2!$A$3:$I$55,4,FALSE)</f>
        <v>MSP5</v>
      </c>
      <c r="Q16" s="13" t="str">
        <f>VLOOKUP(A16,INDICE2!$A$3:$I$55,4,FALSE)</f>
        <v>MSP4</v>
      </c>
    </row>
    <row r="17" spans="1:17" x14ac:dyDescent="0.25">
      <c r="A17" s="5">
        <v>16</v>
      </c>
      <c r="B17" s="18">
        <v>15</v>
      </c>
      <c r="C17" s="6">
        <f>VLOOKUP(B17,INDICE2!$A$3:$F$18,6)</f>
        <v>190</v>
      </c>
      <c r="D17" s="6">
        <f>VLOOKUP(A17,INDICE2!$A$3:$F$18,6)</f>
        <v>223</v>
      </c>
      <c r="E17" s="6">
        <f t="shared" si="0"/>
        <v>1787.2</v>
      </c>
      <c r="F17" s="6">
        <f t="shared" si="1"/>
        <v>1754.2</v>
      </c>
      <c r="G17" s="6">
        <f>VLOOKUP(B17,INDICE2!$A$3:$F$18,5)</f>
        <v>10631.57186</v>
      </c>
      <c r="H17" s="6">
        <f>VLOOKUP(A17,INDICE2!$A$3:$F$18,5)</f>
        <v>15690.524510000001</v>
      </c>
      <c r="I17" s="19">
        <f t="shared" si="2"/>
        <v>99587.966303549809</v>
      </c>
      <c r="J17" s="20">
        <f t="shared" si="6"/>
        <v>2019998.6534</v>
      </c>
      <c r="K17" s="21">
        <f t="shared" si="3"/>
        <v>18915839.770944815</v>
      </c>
      <c r="L17" s="20">
        <f t="shared" si="4"/>
        <v>3498986.9657300003</v>
      </c>
      <c r="M17" s="21">
        <f t="shared" si="5"/>
        <v>18642316.0606612</v>
      </c>
      <c r="N17" s="13">
        <f>IF(VLOOKUP(B17,INDICE2!$A$3:$C$55,2,FALSE)="P",1,0)+N16</f>
        <v>10</v>
      </c>
      <c r="O17" s="13">
        <f>IF(VLOOKUP(B17,INDICE2!$A$3:$C$55,2,FALSE)="I",1,0)+O16</f>
        <v>6</v>
      </c>
      <c r="P17" s="13" t="str">
        <f>VLOOKUP(B17,INDICE2!$A$3:$I$55,4,FALSE)</f>
        <v>MSP4</v>
      </c>
      <c r="Q17" s="13" t="str">
        <f>VLOOKUP(A17,INDICE2!$A$3:$I$55,4,FALSE)</f>
        <v>MSP5</v>
      </c>
    </row>
    <row r="18" spans="1:17" x14ac:dyDescent="0.25">
      <c r="A18" s="23"/>
      <c r="B18" s="23"/>
      <c r="C18" s="24"/>
      <c r="D18" s="6"/>
      <c r="E18" s="6">
        <f t="shared" si="0"/>
        <v>1977.2</v>
      </c>
      <c r="F18" s="6">
        <f t="shared" si="1"/>
        <v>1977.2</v>
      </c>
      <c r="G18" s="2"/>
      <c r="H18" s="6"/>
      <c r="I18" s="19">
        <f t="shared" si="2"/>
        <v>110219.53816354981</v>
      </c>
      <c r="K18" s="28">
        <f t="shared" si="3"/>
        <v>18915839.770944815</v>
      </c>
      <c r="L18" s="20">
        <f t="shared" si="4"/>
        <v>0</v>
      </c>
      <c r="M18" s="27">
        <f t="shared" si="5"/>
        <v>18642316.0606612</v>
      </c>
      <c r="N18" s="49">
        <f>K18-M18</f>
        <v>273523.7102836147</v>
      </c>
      <c r="O18" s="50">
        <f>N18/M18</f>
        <v>1.4672195739712903E-2</v>
      </c>
      <c r="P18" s="22"/>
      <c r="Q18" s="13"/>
    </row>
    <row r="19" spans="1:17" x14ac:dyDescent="0.25">
      <c r="N19" s="12">
        <v>40</v>
      </c>
    </row>
    <row r="20" spans="1:17" x14ac:dyDescent="0.25">
      <c r="N20" s="11">
        <f>N18*N19</f>
        <v>10940948.411344588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>
    <tabColor rgb="FF00B050"/>
  </sheetPr>
  <dimension ref="A1:F20"/>
  <sheetViews>
    <sheetView workbookViewId="0">
      <selection activeCell="H9" sqref="H9"/>
    </sheetView>
  </sheetViews>
  <sheetFormatPr defaultRowHeight="15" x14ac:dyDescent="0.25"/>
  <cols>
    <col min="3" max="3" width="13.7109375" customWidth="1"/>
    <col min="4" max="4" width="15" customWidth="1"/>
    <col min="5" max="5" width="16.7109375" customWidth="1"/>
    <col min="6" max="6" width="18.42578125" style="10" customWidth="1"/>
  </cols>
  <sheetData>
    <row r="1" spans="1:6" ht="21" customHeight="1" x14ac:dyDescent="0.25">
      <c r="A1" s="53" t="s">
        <v>17</v>
      </c>
      <c r="B1" s="53" t="s">
        <v>13</v>
      </c>
      <c r="C1" s="53" t="s">
        <v>14</v>
      </c>
      <c r="D1" s="53" t="s">
        <v>27</v>
      </c>
      <c r="E1" s="55" t="s">
        <v>28</v>
      </c>
      <c r="F1" s="51" t="s">
        <v>37</v>
      </c>
    </row>
    <row r="2" spans="1:6" ht="20.25" customHeight="1" thickBot="1" x14ac:dyDescent="0.3">
      <c r="A2" s="54"/>
      <c r="B2" s="54"/>
      <c r="C2" s="54"/>
      <c r="D2" s="54"/>
      <c r="E2" s="54"/>
      <c r="F2" s="52"/>
    </row>
    <row r="3" spans="1:6" ht="15.75" thickBot="1" x14ac:dyDescent="0.3">
      <c r="A3" s="14">
        <v>1</v>
      </c>
      <c r="B3" s="15" t="s">
        <v>0</v>
      </c>
      <c r="C3" s="15" t="s">
        <v>15</v>
      </c>
      <c r="D3" s="15" t="s">
        <v>7</v>
      </c>
      <c r="E3" s="32">
        <v>6671.3100069173179</v>
      </c>
      <c r="F3" s="32">
        <v>41</v>
      </c>
    </row>
    <row r="4" spans="1:6" ht="15.75" thickBot="1" x14ac:dyDescent="0.3">
      <c r="A4" s="14">
        <v>2</v>
      </c>
      <c r="B4" s="15" t="s">
        <v>0</v>
      </c>
      <c r="C4" s="15" t="s">
        <v>15</v>
      </c>
      <c r="D4" s="15" t="s">
        <v>8</v>
      </c>
      <c r="E4" s="32">
        <v>3248.356683146159</v>
      </c>
      <c r="F4" s="32">
        <v>46</v>
      </c>
    </row>
    <row r="5" spans="1:6" ht="15.75" thickBot="1" x14ac:dyDescent="0.3">
      <c r="A5" s="16">
        <v>4</v>
      </c>
      <c r="B5" s="17" t="s">
        <v>1</v>
      </c>
      <c r="C5" s="17" t="s">
        <v>15</v>
      </c>
      <c r="D5" s="17" t="s">
        <v>10</v>
      </c>
      <c r="E5" s="17"/>
      <c r="F5" s="33">
        <v>35</v>
      </c>
    </row>
    <row r="6" spans="1:6" ht="15.75" thickBot="1" x14ac:dyDescent="0.3">
      <c r="A6" s="14">
        <v>3</v>
      </c>
      <c r="B6" s="15" t="s">
        <v>0</v>
      </c>
      <c r="C6" s="15" t="s">
        <v>15</v>
      </c>
      <c r="D6" s="15" t="s">
        <v>9</v>
      </c>
      <c r="E6" s="32">
        <v>3566.6478055826824</v>
      </c>
      <c r="F6" s="32">
        <v>47</v>
      </c>
    </row>
    <row r="7" spans="1:6" ht="15.75" thickBot="1" x14ac:dyDescent="0.3">
      <c r="A7" s="14">
        <v>5</v>
      </c>
      <c r="B7" s="15" t="s">
        <v>0</v>
      </c>
      <c r="C7" s="15" t="s">
        <v>15</v>
      </c>
      <c r="D7" s="15" t="s">
        <v>11</v>
      </c>
      <c r="E7" s="32">
        <v>4125.8901289876303</v>
      </c>
      <c r="F7" s="32">
        <v>51</v>
      </c>
    </row>
    <row r="8" spans="1:6" ht="15.75" thickBot="1" x14ac:dyDescent="0.3">
      <c r="A8" s="16">
        <v>6</v>
      </c>
      <c r="B8" s="17" t="s">
        <v>1</v>
      </c>
      <c r="C8" s="17" t="s">
        <v>15</v>
      </c>
      <c r="D8" s="17" t="s">
        <v>12</v>
      </c>
      <c r="E8" s="17"/>
      <c r="F8" s="33">
        <v>34</v>
      </c>
    </row>
    <row r="9" spans="1:6" ht="15.75" thickBot="1" x14ac:dyDescent="0.3">
      <c r="A9" s="15">
        <v>7</v>
      </c>
      <c r="B9" s="15" t="s">
        <v>0</v>
      </c>
      <c r="C9" s="15" t="s">
        <v>15</v>
      </c>
      <c r="D9" s="15" t="s">
        <v>3</v>
      </c>
      <c r="E9" s="32">
        <v>4387.8956133333331</v>
      </c>
      <c r="F9" s="32">
        <v>58</v>
      </c>
    </row>
    <row r="10" spans="1:6" ht="15.75" thickBot="1" x14ac:dyDescent="0.3">
      <c r="A10" s="16">
        <v>8</v>
      </c>
      <c r="B10" s="17" t="s">
        <v>1</v>
      </c>
      <c r="C10" s="17" t="s">
        <v>15</v>
      </c>
      <c r="D10" s="17" t="s">
        <v>4</v>
      </c>
      <c r="E10" s="17"/>
      <c r="F10" s="33">
        <v>35.5</v>
      </c>
    </row>
    <row r="11" spans="1:6" ht="15.75" thickBot="1" x14ac:dyDescent="0.3">
      <c r="A11" s="14">
        <v>9</v>
      </c>
      <c r="B11" s="15" t="s">
        <v>16</v>
      </c>
      <c r="C11" s="15"/>
      <c r="D11" s="15" t="s">
        <v>29</v>
      </c>
      <c r="E11" s="32">
        <v>24608.371643333336</v>
      </c>
      <c r="F11" s="32">
        <v>232</v>
      </c>
    </row>
    <row r="12" spans="1:6" ht="15.75" thickBot="1" x14ac:dyDescent="0.3">
      <c r="A12" s="16">
        <v>10</v>
      </c>
      <c r="B12" s="17" t="s">
        <v>1</v>
      </c>
      <c r="C12" s="17"/>
      <c r="D12" s="17" t="s">
        <v>34</v>
      </c>
      <c r="E12" s="17"/>
      <c r="F12" s="33">
        <v>203</v>
      </c>
    </row>
    <row r="13" spans="1:6" ht="15.75" thickBot="1" x14ac:dyDescent="0.3">
      <c r="A13" s="14">
        <v>11</v>
      </c>
      <c r="B13" s="15" t="s">
        <v>16</v>
      </c>
      <c r="C13" s="15"/>
      <c r="D13" s="15" t="s">
        <v>30</v>
      </c>
      <c r="E13" s="32">
        <v>17311.553956666667</v>
      </c>
      <c r="F13" s="32">
        <v>199</v>
      </c>
    </row>
    <row r="14" spans="1:6" ht="15.75" thickBot="1" x14ac:dyDescent="0.3">
      <c r="A14" s="34">
        <v>12</v>
      </c>
      <c r="B14" s="35" t="s">
        <v>1</v>
      </c>
      <c r="C14" s="35"/>
      <c r="D14" s="35" t="s">
        <v>35</v>
      </c>
      <c r="E14" s="36"/>
      <c r="F14" s="36">
        <v>155</v>
      </c>
    </row>
    <row r="15" spans="1:6" ht="15.75" thickBot="1" x14ac:dyDescent="0.3">
      <c r="A15" s="14">
        <v>13</v>
      </c>
      <c r="B15" s="15" t="s">
        <v>16</v>
      </c>
      <c r="C15" s="15"/>
      <c r="D15" s="15" t="s">
        <v>31</v>
      </c>
      <c r="E15" s="32">
        <v>16410.76815</v>
      </c>
      <c r="F15" s="32">
        <v>184</v>
      </c>
    </row>
    <row r="16" spans="1:6" ht="15.75" thickBot="1" x14ac:dyDescent="0.3">
      <c r="A16" s="34">
        <v>14</v>
      </c>
      <c r="B16" s="35" t="s">
        <v>1</v>
      </c>
      <c r="C16" s="35"/>
      <c r="D16" s="35" t="s">
        <v>36</v>
      </c>
      <c r="E16" s="36"/>
      <c r="F16" s="36">
        <v>231.7</v>
      </c>
    </row>
    <row r="17" spans="1:6" ht="15.75" thickBot="1" x14ac:dyDescent="0.3">
      <c r="A17" s="37">
        <v>15</v>
      </c>
      <c r="B17" s="38" t="s">
        <v>0</v>
      </c>
      <c r="C17" s="38"/>
      <c r="D17" s="38" t="s">
        <v>32</v>
      </c>
      <c r="E17" s="32">
        <v>10631.57186</v>
      </c>
      <c r="F17" s="39">
        <v>190</v>
      </c>
    </row>
    <row r="18" spans="1:6" ht="15.75" thickBot="1" x14ac:dyDescent="0.3">
      <c r="A18" s="37">
        <v>16</v>
      </c>
      <c r="B18" s="38" t="s">
        <v>0</v>
      </c>
      <c r="C18" s="38"/>
      <c r="D18" s="38" t="s">
        <v>33</v>
      </c>
      <c r="E18" s="32">
        <v>15690.524510000001</v>
      </c>
      <c r="F18" s="39">
        <v>223</v>
      </c>
    </row>
    <row r="19" spans="1:6" x14ac:dyDescent="0.25">
      <c r="F19" s="10">
        <v>1965.2</v>
      </c>
    </row>
    <row r="20" spans="1:6" x14ac:dyDescent="0.25">
      <c r="F20" s="40">
        <v>5.3841095890410964</v>
      </c>
    </row>
  </sheetData>
  <mergeCells count="6">
    <mergeCell ref="F1:F2"/>
    <mergeCell ref="A1:A2"/>
    <mergeCell ref="B1:B2"/>
    <mergeCell ref="C1:C2"/>
    <mergeCell ref="D1:D2"/>
    <mergeCell ref="E1:E2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AF746627-7006-4765-B577-E51D803E8991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C2042786-7C89-47B8-9C58-F70D6B67071D}">
  <ds:schemaRefs>
    <ds:schemaRef ds:uri="http://www.w3.org/2001/XMLSchema"/>
    <ds:schemaRef ds:uri="http://microsoft.data.visualization.Client.Excel/1.0"/>
  </ds:schemaRefs>
</ds:datastoreItem>
</file>

<file path=customXml/itemProps3.xml><?xml version="1.0" encoding="utf-8"?>
<ds:datastoreItem xmlns:ds="http://schemas.openxmlformats.org/officeDocument/2006/customXml" ds:itemID="{50F1CF55-7FE1-40F7-A637-F7AB047772DC}">
  <ds:schemaRefs>
    <ds:schemaRef ds:uri="http://www.w3.org/2001/XMLSchema"/>
    <ds:schemaRef ds:uri="http://microsoft.data.visualization.Client.Excel.CustomMapList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MODELOfinal (2)</vt:lpstr>
      <vt:lpstr>MODELOfinal</vt:lpstr>
      <vt:lpstr>MODELO2</vt:lpstr>
      <vt:lpstr>INDICE2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Leonardo Henrique da Fonseca</dc:creator>
  <cp:lastModifiedBy>Leonardo Henrique da Fonseca</cp:lastModifiedBy>
  <dcterms:created xsi:type="dcterms:W3CDTF">2020-05-14T16:27:56Z</dcterms:created>
  <dcterms:modified xsi:type="dcterms:W3CDTF">2020-12-27T05:03:49Z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61996e-cafd-4c9a-8a94-2dc1b82131ae_Enabled">
    <vt:lpwstr>true</vt:lpwstr>
  </property>
  <property fmtid="{D5CDD505-2E9C-101B-9397-08002B2CF9AE}" pid="3" name="MSIP_Label_8e61996e-cafd-4c9a-8a94-2dc1b82131ae_SetDate">
    <vt:lpwstr>2020-10-04T19:28:23Z</vt:lpwstr>
  </property>
  <property fmtid="{D5CDD505-2E9C-101B-9397-08002B2CF9AE}" pid="4" name="MSIP_Label_8e61996e-cafd-4c9a-8a94-2dc1b82131ae_Method">
    <vt:lpwstr>Standard</vt:lpwstr>
  </property>
  <property fmtid="{D5CDD505-2E9C-101B-9397-08002B2CF9AE}" pid="5" name="MSIP_Label_8e61996e-cafd-4c9a-8a94-2dc1b82131ae_Name">
    <vt:lpwstr>NP-1</vt:lpwstr>
  </property>
  <property fmtid="{D5CDD505-2E9C-101B-9397-08002B2CF9AE}" pid="6" name="MSIP_Label_8e61996e-cafd-4c9a-8a94-2dc1b82131ae_SiteId">
    <vt:lpwstr>5b6f6241-9a57-4be4-8e50-1dfa72e79a57</vt:lpwstr>
  </property>
  <property fmtid="{D5CDD505-2E9C-101B-9397-08002B2CF9AE}" pid="7" name="MSIP_Label_8e61996e-cafd-4c9a-8a94-2dc1b82131ae_ActionId">
    <vt:lpwstr>ca53d5db-b55a-4fe8-af3a-35c305f8a9d1</vt:lpwstr>
  </property>
  <property fmtid="{D5CDD505-2E9C-101B-9397-08002B2CF9AE}" pid="8" name="MSIP_Label_8e61996e-cafd-4c9a-8a94-2dc1b82131ae_ContentBits">
    <vt:lpwstr>0</vt:lpwstr>
  </property>
</Properties>
</file>